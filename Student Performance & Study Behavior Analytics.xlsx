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https://d.docs.live.net/8915800E7B3544EF/Desktop/Ms Excel/"/>
    </mc:Choice>
  </mc:AlternateContent>
  <bookViews>
    <workbookView xWindow="0" yWindow="0" windowWidth="19200" windowHeight="6930" activeTab="4"/>
  </bookViews>
  <sheets>
    <sheet name="Raw Data" sheetId="1" r:id="rId1"/>
    <sheet name="Clean Data" sheetId="2" r:id="rId2"/>
    <sheet name="Sheet2" sheetId="7" state="hidden" r:id="rId3"/>
    <sheet name="Pivot Analysis" sheetId="3" r:id="rId4"/>
    <sheet name="Final Dashboard" sheetId="5" r:id="rId5"/>
    <sheet name="Sheet1" sheetId="6" state="hidden" r:id="rId6"/>
    <sheet name="Student Performance Visual Anal" sheetId="4" state="hidden" r:id="rId7"/>
  </sheets>
  <definedNames>
    <definedName name="Slicer_Attendance_Group">#N/A</definedName>
    <definedName name="Slicer_Gender">#N/A</definedName>
    <definedName name="Slicer_Performance">#N/A</definedName>
  </definedNames>
  <calcPr calcId="191029"/>
  <pivotCaches>
    <pivotCache cacheId="2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4" i="2" l="1"/>
  <c r="C4" i="6" l="1"/>
  <c r="C3" i="6"/>
  <c r="C2" i="6"/>
  <c r="J9" i="5"/>
  <c r="J1" i="5"/>
  <c r="G7" i="5"/>
  <c r="T5" i="2" l="1"/>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4" i="2"/>
  <c r="AB16" i="2"/>
  <c r="AB15" i="2"/>
  <c r="AB14" i="2"/>
  <c r="AB13" i="2"/>
  <c r="U6" i="2"/>
  <c r="U7" i="2"/>
  <c r="U8" i="2"/>
  <c r="U9" i="2"/>
  <c r="U10" i="2"/>
  <c r="U11" i="2"/>
  <c r="U12"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4" i="2"/>
  <c r="S5" i="2"/>
  <c r="S6" i="2"/>
  <c r="S7" i="2"/>
  <c r="S8" i="2"/>
  <c r="S9" i="2"/>
  <c r="S10" i="2"/>
  <c r="S11" i="2"/>
  <c r="S12"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4" i="2"/>
  <c r="R5" i="2"/>
  <c r="R6" i="2"/>
  <c r="R7" i="2"/>
  <c r="R8" i="2"/>
  <c r="R9" i="2"/>
  <c r="R11" i="2"/>
  <c r="R12"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4" i="2"/>
  <c r="Q5" i="2"/>
  <c r="Q6" i="2"/>
  <c r="Q7" i="2"/>
  <c r="Q8" i="2"/>
  <c r="Q9" i="2"/>
  <c r="Q11" i="2"/>
  <c r="Q12"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4" i="2" l="1"/>
  <c r="C5" i="6" s="1"/>
  <c r="P5" i="2"/>
  <c r="P6" i="2"/>
  <c r="P7" i="2"/>
  <c r="P8" i="2"/>
  <c r="P9" i="2"/>
  <c r="P11" i="2"/>
  <c r="P12"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4" i="2"/>
  <c r="O5" i="2"/>
  <c r="O6" i="2"/>
  <c r="O7" i="2"/>
  <c r="O8" i="2"/>
  <c r="O9" i="2"/>
  <c r="O11" i="2"/>
  <c r="O12"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4" i="2"/>
  <c r="U302" i="2" l="1"/>
  <c r="R302" i="2"/>
  <c r="Q302" i="2"/>
  <c r="S302" i="2"/>
  <c r="O302" i="2"/>
  <c r="P302" i="2"/>
  <c r="U13" i="2"/>
  <c r="Q13" i="2"/>
  <c r="S13" i="2"/>
  <c r="R13" i="2"/>
  <c r="O13" i="2"/>
  <c r="AB22" i="2"/>
  <c r="AB21" i="2"/>
  <c r="AB20" i="2"/>
  <c r="AB19" i="2"/>
  <c r="P13" i="2"/>
  <c r="Q10" i="2"/>
  <c r="R10" i="2"/>
  <c r="P10" i="2"/>
  <c r="O10" i="2"/>
</calcChain>
</file>

<file path=xl/sharedStrings.xml><?xml version="1.0" encoding="utf-8"?>
<sst xmlns="http://schemas.openxmlformats.org/spreadsheetml/2006/main" count="7613" uniqueCount="216">
  <si>
    <t>Student_ID</t>
  </si>
  <si>
    <t>Name</t>
  </si>
  <si>
    <t>Gender</t>
  </si>
  <si>
    <t>Study_Hours_Per_Day</t>
  </si>
  <si>
    <t>Attendance (%)</t>
  </si>
  <si>
    <t>Assignment_Score</t>
  </si>
  <si>
    <t>Midterm_Score</t>
  </si>
  <si>
    <t>Final_Exam_Score</t>
  </si>
  <si>
    <t>Extra_Activities</t>
  </si>
  <si>
    <t>Sleep_Hours</t>
  </si>
  <si>
    <t>Internet_Usage (hrs/day)</t>
  </si>
  <si>
    <t>Aarav</t>
  </si>
  <si>
    <t>Male</t>
  </si>
  <si>
    <t>Yes</t>
  </si>
  <si>
    <t>Diya</t>
  </si>
  <si>
    <t>Female</t>
  </si>
  <si>
    <t>No</t>
  </si>
  <si>
    <t>Vihaan</t>
  </si>
  <si>
    <t>Ananya</t>
  </si>
  <si>
    <t>Kabir</t>
  </si>
  <si>
    <t>Isha</t>
  </si>
  <si>
    <t>Rohan</t>
  </si>
  <si>
    <t>Meera</t>
  </si>
  <si>
    <t>Arjun</t>
  </si>
  <si>
    <t>Saanvi</t>
  </si>
  <si>
    <t>Aditya</t>
  </si>
  <si>
    <t>Kavya</t>
  </si>
  <si>
    <t>Raj</t>
  </si>
  <si>
    <t>Pooja</t>
  </si>
  <si>
    <t>Manish</t>
  </si>
  <si>
    <t>Neha</t>
  </si>
  <si>
    <t>Vikram</t>
  </si>
  <si>
    <t>Simran</t>
  </si>
  <si>
    <t>Karan</t>
  </si>
  <si>
    <t>Riya</t>
  </si>
  <si>
    <t>Aman</t>
  </si>
  <si>
    <t>Shreya</t>
  </si>
  <si>
    <t>Rahul</t>
  </si>
  <si>
    <t>Nisha</t>
  </si>
  <si>
    <t>Deepak</t>
  </si>
  <si>
    <t>Priya</t>
  </si>
  <si>
    <t>Sachin</t>
  </si>
  <si>
    <t>Tanya</t>
  </si>
  <si>
    <t>Mohit</t>
  </si>
  <si>
    <t>Alisha</t>
  </si>
  <si>
    <t>Ravi</t>
  </si>
  <si>
    <t>Kritika</t>
  </si>
  <si>
    <t>Sunil</t>
  </si>
  <si>
    <t>Payal</t>
  </si>
  <si>
    <t>Ajay</t>
  </si>
  <si>
    <t>Sneha</t>
  </si>
  <si>
    <t>Nitin</t>
  </si>
  <si>
    <t>Divya</t>
  </si>
  <si>
    <t>Varun</t>
  </si>
  <si>
    <t>Rekha</t>
  </si>
  <si>
    <t>Harsh</t>
  </si>
  <si>
    <t>Aisha</t>
  </si>
  <si>
    <t>Imran</t>
  </si>
  <si>
    <t>Komal</t>
  </si>
  <si>
    <t>Yash</t>
  </si>
  <si>
    <t>Saloni</t>
  </si>
  <si>
    <t>Dev</t>
  </si>
  <si>
    <t>Ritu</t>
  </si>
  <si>
    <t>Kunal</t>
  </si>
  <si>
    <t>Pallavi</t>
  </si>
  <si>
    <t>rahul</t>
  </si>
  <si>
    <t>male</t>
  </si>
  <si>
    <t>yes</t>
  </si>
  <si>
    <t>ANANYA</t>
  </si>
  <si>
    <t>FEMALE</t>
  </si>
  <si>
    <t>YES</t>
  </si>
  <si>
    <t>Rohit</t>
  </si>
  <si>
    <t>Ankit</t>
  </si>
  <si>
    <t>Neeraj</t>
  </si>
  <si>
    <t>Sakshi</t>
  </si>
  <si>
    <t>Amit</t>
  </si>
  <si>
    <t>Kiran</t>
  </si>
  <si>
    <t>Varsha</t>
  </si>
  <si>
    <t>Deep</t>
  </si>
  <si>
    <t>Ajit</t>
  </si>
  <si>
    <t>Poonam</t>
  </si>
  <si>
    <t>Arvind</t>
  </si>
  <si>
    <t>Yogesh</t>
  </si>
  <si>
    <t>Sonal</t>
  </si>
  <si>
    <t>Anu</t>
  </si>
  <si>
    <t>Ramesh</t>
  </si>
  <si>
    <t>Geeta</t>
  </si>
  <si>
    <t>Suresh</t>
  </si>
  <si>
    <t>Lata</t>
  </si>
  <si>
    <t>Kishor</t>
  </si>
  <si>
    <t>Madhu</t>
  </si>
  <si>
    <t>Sunita</t>
  </si>
  <si>
    <t>Prakash</t>
  </si>
  <si>
    <t>Reena</t>
  </si>
  <si>
    <t>Ashok</t>
  </si>
  <si>
    <t>Kajal</t>
  </si>
  <si>
    <t>Manoj</t>
  </si>
  <si>
    <t>Tarun</t>
  </si>
  <si>
    <t>Seema</t>
  </si>
  <si>
    <t>Gaurav</t>
  </si>
  <si>
    <t>Nikita</t>
  </si>
  <si>
    <t>Rajesh</t>
  </si>
  <si>
    <t>Anjali</t>
  </si>
  <si>
    <t>Vinay</t>
  </si>
  <si>
    <t>Sarita</t>
  </si>
  <si>
    <t>Devendra</t>
  </si>
  <si>
    <t>Kavita</t>
  </si>
  <si>
    <t>Mukesh</t>
  </si>
  <si>
    <t>Radha</t>
  </si>
  <si>
    <t>Shyam</t>
  </si>
  <si>
    <t>Priyanshi</t>
  </si>
  <si>
    <t>Naveen</t>
  </si>
  <si>
    <t>Chitra</t>
  </si>
  <si>
    <t>Omkar</t>
  </si>
  <si>
    <t>Juhi</t>
  </si>
  <si>
    <t>ANITA</t>
  </si>
  <si>
    <t>Ayush</t>
  </si>
  <si>
    <t>Megha</t>
  </si>
  <si>
    <t>Suraj</t>
  </si>
  <si>
    <t>Rashmi</t>
  </si>
  <si>
    <t>Kamal</t>
  </si>
  <si>
    <t>Priti</t>
  </si>
  <si>
    <t>Dinesh</t>
  </si>
  <si>
    <t>Shalini</t>
  </si>
  <si>
    <t>Harish</t>
  </si>
  <si>
    <t>Naresh</t>
  </si>
  <si>
    <t>Alok</t>
  </si>
  <si>
    <t>Suman</t>
  </si>
  <si>
    <t>Keshav</t>
  </si>
  <si>
    <t>Rupal</t>
  </si>
  <si>
    <t>Tejas</t>
  </si>
  <si>
    <t>Ila</t>
  </si>
  <si>
    <t>Rajiv</t>
  </si>
  <si>
    <t>Heena</t>
  </si>
  <si>
    <t>Manav</t>
  </si>
  <si>
    <t>Ashish</t>
  </si>
  <si>
    <t>Kirti</t>
  </si>
  <si>
    <t>Nakul</t>
  </si>
  <si>
    <t>Sapna</t>
  </si>
  <si>
    <t>Ritesh</t>
  </si>
  <si>
    <t>Garima</t>
  </si>
  <si>
    <t>Vishal</t>
  </si>
  <si>
    <t>Preeti</t>
  </si>
  <si>
    <t>Rohini</t>
  </si>
  <si>
    <t>Aarti</t>
  </si>
  <si>
    <t>Deepesh</t>
  </si>
  <si>
    <t>Monika</t>
  </si>
  <si>
    <t>Sameer</t>
  </si>
  <si>
    <t>Nandini</t>
  </si>
  <si>
    <t>Kapil</t>
  </si>
  <si>
    <t>Shruti</t>
  </si>
  <si>
    <t>Anmol</t>
  </si>
  <si>
    <t>Rajeev</t>
  </si>
  <si>
    <t>Pinky</t>
  </si>
  <si>
    <t>Kriti</t>
  </si>
  <si>
    <t>Sonia</t>
  </si>
  <si>
    <t>Nikhil</t>
  </si>
  <si>
    <t>Arun</t>
  </si>
  <si>
    <t>riya</t>
  </si>
  <si>
    <t>female</t>
  </si>
  <si>
    <t>ANIL</t>
  </si>
  <si>
    <t>MALE</t>
  </si>
  <si>
    <t>NO</t>
  </si>
  <si>
    <t>Aarush</t>
  </si>
  <si>
    <t>Vikas</t>
  </si>
  <si>
    <t>Unknown</t>
  </si>
  <si>
    <t>Total_Score</t>
  </si>
  <si>
    <t>Average_Score</t>
  </si>
  <si>
    <t>Performance</t>
  </si>
  <si>
    <t>Study_Efficiency</t>
  </si>
  <si>
    <t>At_Risk</t>
  </si>
  <si>
    <t>Smart_Students</t>
  </si>
  <si>
    <t>Balanced_Student</t>
  </si>
  <si>
    <t>Grade Table</t>
  </si>
  <si>
    <t>Min Score</t>
  </si>
  <si>
    <t>Grade</t>
  </si>
  <si>
    <t>F</t>
  </si>
  <si>
    <t>D</t>
  </si>
  <si>
    <t>C</t>
  </si>
  <si>
    <t>B</t>
  </si>
  <si>
    <t>A</t>
  </si>
  <si>
    <t>Average Study Hours</t>
  </si>
  <si>
    <t>Median Study Hours</t>
  </si>
  <si>
    <t>Most common Study Hours (Mode)</t>
  </si>
  <si>
    <t>Standard Deviation</t>
  </si>
  <si>
    <t>summary(Study Hours Analysis)</t>
  </si>
  <si>
    <t>summary(Score Analysis)</t>
  </si>
  <si>
    <t>Mean score</t>
  </si>
  <si>
    <t>Median score</t>
  </si>
  <si>
    <t>Mode</t>
  </si>
  <si>
    <t>Standard deviation</t>
  </si>
  <si>
    <t>Row Labels</t>
  </si>
  <si>
    <t>Grand Total</t>
  </si>
  <si>
    <t>Attendance_Group</t>
  </si>
  <si>
    <t>Average of Average_Score</t>
  </si>
  <si>
    <t>High</t>
  </si>
  <si>
    <t>Medium</t>
  </si>
  <si>
    <t>Low</t>
  </si>
  <si>
    <t>Excellent</t>
  </si>
  <si>
    <t>Good</t>
  </si>
  <si>
    <t>Needs Improvement</t>
  </si>
  <si>
    <t>Count of Student_ID</t>
  </si>
  <si>
    <t>Column Labels</t>
  </si>
  <si>
    <t>Average Score by Gender</t>
  </si>
  <si>
    <t>Average Score by Attendance Group</t>
  </si>
  <si>
    <t>Performance Category Distribution</t>
  </si>
  <si>
    <t>Performance Distribution by Gender</t>
  </si>
  <si>
    <t>Average Score</t>
  </si>
  <si>
    <t>Total Students</t>
  </si>
  <si>
    <t>Max Score</t>
  </si>
  <si>
    <t>At-Risk Count</t>
  </si>
  <si>
    <t>`</t>
  </si>
  <si>
    <t>Normal Students</t>
  </si>
  <si>
    <t>Balanced Student</t>
  </si>
  <si>
    <t>Smart Students</t>
  </si>
  <si>
    <t>Unbalanced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</si>
</sst>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b/>
      <sz val="11"/>
      <color theme="1"/>
      <name val="Calibri"/>
      <family val="2"/>
      <scheme val="minor"/>
    </font>
    <font>
      <sz val="10"/>
      <color theme="1"/>
      <name val="Arial Unicode MS"/>
    </font>
    <font>
      <sz val="11"/>
      <color rgb="FFFFFFFF"/>
      <name val="Calibri"/>
      <family val="2"/>
      <scheme val="minor"/>
    </font>
  </fonts>
  <fills count="3">
    <fill>
      <patternFill patternType="none"/>
    </fill>
    <fill>
      <patternFill patternType="gray125"/>
    </fill>
    <fill>
      <patternFill patternType="solid">
        <fgColor rgb="FFF0F2F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8">
    <xf numFmtId="0" fontId="0" fillId="0" borderId="0" xfId="0"/>
    <xf numFmtId="2"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2" fontId="2"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 fillId="0" borderId="0" xfId="0" applyFont="1" applyAlignment="1">
      <alignment horizontal="center"/>
    </xf>
    <xf numFmtId="0" fontId="0" fillId="2" borderId="0" xfId="0" applyFill="1"/>
    <xf numFmtId="2" fontId="3" fillId="2" borderId="0" xfId="0" applyNumberFormat="1" applyFont="1" applyFill="1" applyAlignment="1">
      <alignment horizontal="left" vertical="center"/>
    </xf>
    <xf numFmtId="2" fontId="0" fillId="2" borderId="0" xfId="0" applyNumberFormat="1" applyFill="1"/>
    <xf numFmtId="0" fontId="0" fillId="0" borderId="1" xfId="0" applyBorder="1"/>
    <xf numFmtId="2" fontId="0" fillId="0" borderId="1" xfId="0" applyNumberFormat="1" applyBorder="1"/>
    <xf numFmtId="0" fontId="0" fillId="0" borderId="2" xfId="0" applyBorder="1"/>
    <xf numFmtId="0" fontId="0" fillId="0" borderId="3" xfId="0" applyBorder="1"/>
    <xf numFmtId="0" fontId="0" fillId="0" borderId="3" xfId="0" applyFont="1"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2" fontId="0" fillId="0" borderId="8" xfId="0" applyNumberFormat="1" applyBorder="1"/>
    <xf numFmtId="0" fontId="0" fillId="0" borderId="9" xfId="0" applyBorder="1"/>
    <xf numFmtId="0" fontId="0" fillId="0" borderId="0" xfId="0" applyAlignment="1">
      <alignment horizontal="center"/>
    </xf>
    <xf numFmtId="0" fontId="1" fillId="0" borderId="0" xfId="0" applyFont="1" applyAlignment="1">
      <alignment horizontal="center"/>
    </xf>
  </cellXfs>
  <cellStyles count="1">
    <cellStyle name="Normal" xfId="0" builtinId="0"/>
  </cellStyles>
  <dxfs count="3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0DF907"/>
        </patternFill>
      </fill>
    </dxf>
    <dxf>
      <fill>
        <patternFill>
          <bgColor rgb="FF24FC29"/>
        </patternFill>
      </fill>
    </dxf>
    <dxf>
      <font>
        <color theme="1"/>
      </font>
      <fill>
        <patternFill>
          <bgColor rgb="FF43F360"/>
        </patternFill>
      </fill>
    </dxf>
    <dxf>
      <font>
        <color theme="0"/>
      </font>
      <fill>
        <patternFill>
          <bgColor rgb="FFFF5743"/>
        </patternFill>
      </fill>
    </dxf>
    <dxf>
      <font>
        <color rgb="FF00B050"/>
      </font>
    </dxf>
    <dxf>
      <font>
        <color rgb="FF9C0006"/>
      </font>
      <fill>
        <patternFill>
          <bgColor rgb="FFFFC7CE"/>
        </patternFill>
      </fill>
    </dxf>
    <dxf>
      <font>
        <color rgb="FFFF0000"/>
      </font>
      <fill>
        <patternFill patternType="none">
          <bgColor auto="1"/>
        </patternFill>
      </fill>
    </dxf>
    <dxf>
      <font>
        <color rgb="FF00B0F0"/>
      </font>
    </dxf>
    <dxf>
      <font>
        <color rgb="FF00B050"/>
      </font>
    </dxf>
    <dxf>
      <font>
        <color rgb="FFFF0000"/>
      </font>
      <fill>
        <patternFill patternType="none">
          <bgColor auto="1"/>
        </patternFill>
      </fill>
    </dxf>
    <dxf>
      <font>
        <color theme="4"/>
      </font>
      <fill>
        <patternFill patternType="none">
          <bgColor auto="1"/>
        </patternFill>
      </fill>
    </dxf>
    <dxf>
      <font>
        <color rgb="FF00B050"/>
      </font>
      <fill>
        <patternFill patternType="none">
          <bgColor auto="1"/>
        </patternFill>
      </fill>
    </dxf>
  </dxfs>
  <tableStyles count="1" defaultTableStyle="TableStyleMedium2" defaultPivotStyle="PivotStyleLight16">
    <tableStyle name="Slicer Style 1" pivot="0" table="0" count="0"/>
  </tableStyles>
  <colors>
    <mruColors>
      <color rgb="FFF0F2F6"/>
      <color rgb="FFFF5743"/>
      <color rgb="FFE65E00"/>
      <color rgb="FF0072B2"/>
      <color rgb="FF404040"/>
      <color rgb="FFE69F00"/>
      <color rgb="FF0DF907"/>
      <color rgb="FF24FC29"/>
      <color rgb="FF43F360"/>
      <color rgb="FFFF993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^0 Study Behavior Analytics.xlsx]Pivot Analysis!PivotTable1</c:name>
    <c:fmtId val="15"/>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2B2"/>
          </a:solidFill>
          <a:ln w="6350" cap="flat" cmpd="sng" algn="ctr">
            <a:solidFill>
              <a:srgbClr val="0072B2"/>
            </a:solidFill>
            <a:prstDash val="solid"/>
            <a:miter lim="800000"/>
          </a:ln>
          <a:effectLst/>
          <a:scene3d>
            <a:camera prst="orthographicFront"/>
            <a:lightRig rig="threePt" dir="t"/>
          </a:scene3d>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rgbClr val="40404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E69F00"/>
          </a:solidFill>
          <a:ln w="6350" cap="flat" cmpd="sng" algn="ctr">
            <a:solidFill>
              <a:srgbClr val="E69F00"/>
            </a:solidFill>
            <a:prstDash val="solid"/>
            <a:miter lim="800000"/>
          </a:ln>
          <a:effectLst/>
          <a:scene3d>
            <a:camera prst="orthographicFront"/>
            <a:lightRig rig="threePt" dir="t"/>
          </a:scene3d>
        </c:spPr>
      </c:pivotFmt>
    </c:pivotFmts>
    <c:plotArea>
      <c:layout/>
      <c:barChart>
        <c:barDir val="bar"/>
        <c:grouping val="clustered"/>
        <c:varyColors val="0"/>
        <c:ser>
          <c:idx val="0"/>
          <c:order val="0"/>
          <c:tx>
            <c:strRef>
              <c:f>'Pivot Analysis'!$C$2</c:f>
              <c:strCache>
                <c:ptCount val="1"/>
                <c:pt idx="0">
                  <c:v>Total</c:v>
                </c:pt>
              </c:strCache>
            </c:strRef>
          </c:tx>
          <c:spPr>
            <a:solidFill>
              <a:srgbClr val="0072B2"/>
            </a:solidFill>
            <a:ln w="6350" cap="flat" cmpd="sng" algn="ctr">
              <a:solidFill>
                <a:srgbClr val="0072B2"/>
              </a:solidFill>
              <a:prstDash val="solid"/>
              <a:miter lim="800000"/>
            </a:ln>
            <a:effectLst/>
            <a:scene3d>
              <a:camera prst="orthographicFront"/>
              <a:lightRig rig="threePt" dir="t"/>
            </a:scene3d>
          </c:spPr>
          <c:invertIfNegative val="0"/>
          <c:dPt>
            <c:idx val="1"/>
            <c:invertIfNegative val="0"/>
            <c:bubble3D val="0"/>
            <c:spPr>
              <a:solidFill>
                <a:srgbClr val="E69F00"/>
              </a:solidFill>
              <a:ln w="6350" cap="flat" cmpd="sng" algn="ctr">
                <a:solidFill>
                  <a:srgbClr val="E69F00"/>
                </a:solidFill>
                <a:prstDash val="solid"/>
                <a:miter lim="800000"/>
              </a:ln>
              <a:effectLst/>
              <a:scene3d>
                <a:camera prst="orthographicFront"/>
                <a:lightRig rig="threePt" dir="t"/>
              </a:scene3d>
            </c:spPr>
            <c:extLst>
              <c:ext xmlns:c16="http://schemas.microsoft.com/office/drawing/2014/chart" uri="{C3380CC4-5D6E-409C-BE32-E72D297353CC}">
                <c16:uniqueId val="{00000000-EC31-4E03-9B5F-284B4D19B609}"/>
              </c:ext>
            </c:extLst>
          </c:dPt>
          <c:dLbls>
            <c:spPr>
              <a:noFill/>
              <a:ln>
                <a:noFill/>
              </a:ln>
              <a:effectLst/>
            </c:spPr>
            <c:txPr>
              <a:bodyPr rot="0" spcFirstLastPara="1" vertOverflow="ellipsis" vert="horz" wrap="square" anchor="ctr" anchorCtr="1"/>
              <a:lstStyle/>
              <a:p>
                <a:pPr>
                  <a:defRPr sz="1000" b="1" i="0" u="none" strike="noStrike" kern="1200" baseline="0">
                    <a:solidFill>
                      <a:srgbClr val="40404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Analysis'!$B$3:$B$5</c:f>
              <c:strCache>
                <c:ptCount val="2"/>
                <c:pt idx="0">
                  <c:v>Female</c:v>
                </c:pt>
                <c:pt idx="1">
                  <c:v>Male</c:v>
                </c:pt>
              </c:strCache>
            </c:strRef>
          </c:cat>
          <c:val>
            <c:numRef>
              <c:f>'Pivot Analysis'!$C$3:$C$5</c:f>
              <c:numCache>
                <c:formatCode>0.00</c:formatCode>
                <c:ptCount val="2"/>
                <c:pt idx="0">
                  <c:v>83.228997289972924</c:v>
                </c:pt>
                <c:pt idx="1">
                  <c:v>72.763779527559052</c:v>
                </c:pt>
              </c:numCache>
            </c:numRef>
          </c:val>
          <c:extLst>
            <c:ext xmlns:c16="http://schemas.microsoft.com/office/drawing/2014/chart" uri="{C3380CC4-5D6E-409C-BE32-E72D297353CC}">
              <c16:uniqueId val="{00000000-EEF7-4046-901C-4094ADB2C030}"/>
            </c:ext>
          </c:extLst>
        </c:ser>
        <c:dLbls>
          <c:dLblPos val="outEnd"/>
          <c:showLegendKey val="0"/>
          <c:showVal val="1"/>
          <c:showCatName val="0"/>
          <c:showSerName val="0"/>
          <c:showPercent val="0"/>
          <c:showBubbleSize val="0"/>
        </c:dLbls>
        <c:gapWidth val="41"/>
        <c:axId val="1304587920"/>
        <c:axId val="1773932224"/>
      </c:barChart>
      <c:catAx>
        <c:axId val="130458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effectLst/>
                <a:latin typeface="+mn-lt"/>
                <a:ea typeface="+mn-ea"/>
                <a:cs typeface="+mn-cs"/>
              </a:defRPr>
            </a:pPr>
            <a:endParaRPr lang="en-US"/>
          </a:p>
        </c:txPr>
        <c:crossAx val="1773932224"/>
        <c:crosses val="autoZero"/>
        <c:auto val="1"/>
        <c:lblAlgn val="ctr"/>
        <c:lblOffset val="100"/>
        <c:noMultiLvlLbl val="0"/>
      </c:catAx>
      <c:valAx>
        <c:axId val="1773932224"/>
        <c:scaling>
          <c:orientation val="minMax"/>
        </c:scaling>
        <c:delete val="1"/>
        <c:axPos val="b"/>
        <c:numFmt formatCode="0.00" sourceLinked="1"/>
        <c:majorTickMark val="none"/>
        <c:minorTickMark val="none"/>
        <c:tickLblPos val="nextTo"/>
        <c:crossAx val="130458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3"/>
      </a:solidFill>
      <a:prstDash val="solid"/>
      <a:miter lim="800000"/>
    </a:ln>
    <a:effectLst/>
    <a:scene3d>
      <a:camera prst="orthographicFront"/>
      <a:lightRig rig="threePt" dir="t"/>
    </a:scene3d>
  </c:spPr>
  <c:txPr>
    <a:bodyPr/>
    <a:lstStyle/>
    <a:p>
      <a:pPr>
        <a:defRPr>
          <a:solidFill>
            <a:srgbClr val="40404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^0 Study Behavior Analytics.xlsx]Pivot Analysis!PivotTable2</c:name>
    <c:fmtId val="33"/>
  </c:pivotSource>
  <c:chart>
    <c:title>
      <c:tx>
        <c:rich>
          <a:bodyPr rot="0" spcFirstLastPara="1" vertOverflow="ellipsis" vert="horz" wrap="square" anchor="ctr" anchorCtr="1"/>
          <a:lstStyle/>
          <a:p>
            <a:pPr>
              <a:defRPr sz="1800" b="1" i="0" u="none" strike="noStrike" kern="1200" baseline="0">
                <a:solidFill>
                  <a:srgbClr val="404040"/>
                </a:solidFill>
                <a:latin typeface="+mn-lt"/>
                <a:ea typeface="+mn-ea"/>
                <a:cs typeface="+mn-cs"/>
              </a:defRPr>
            </a:pPr>
            <a:r>
              <a:rPr lang="en-US"/>
              <a:t>Average Score by Attendance Group</a:t>
            </a:r>
          </a:p>
        </c:rich>
      </c:tx>
      <c:layout>
        <c:manualLayout>
          <c:xMode val="edge"/>
          <c:yMode val="edge"/>
          <c:x val="0.11880532816636938"/>
          <c:y val="0.18478832029448733"/>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40404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2B2"/>
          </a:solidFill>
          <a:ln w="6350" cap="flat" cmpd="sng" algn="ctr">
            <a:solidFill>
              <a:srgbClr val="0072B2"/>
            </a:solidFill>
            <a:prstDash val="solid"/>
            <a:miter lim="800000"/>
          </a:ln>
          <a:effectLst/>
          <a:scene3d>
            <a:camera prst="orthographicFront"/>
            <a:lightRig rig="threePt" dir="t"/>
          </a:scene3d>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rgbClr val="40404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Analysis'!$C$11</c:f>
              <c:strCache>
                <c:ptCount val="1"/>
                <c:pt idx="0">
                  <c:v>Total</c:v>
                </c:pt>
              </c:strCache>
            </c:strRef>
          </c:tx>
          <c:spPr>
            <a:solidFill>
              <a:srgbClr val="0072B2"/>
            </a:solidFill>
            <a:ln w="6350" cap="flat" cmpd="sng" algn="ctr">
              <a:solidFill>
                <a:srgbClr val="0072B2"/>
              </a:solidFill>
              <a:prstDash val="solid"/>
              <a:miter lim="800000"/>
            </a:ln>
            <a:effectLst/>
            <a:scene3d>
              <a:camera prst="orthographicFront"/>
              <a:lightRig rig="threePt" dir="t"/>
            </a:scene3d>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40404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Analysis'!$B$12:$B$15</c:f>
              <c:strCache>
                <c:ptCount val="3"/>
                <c:pt idx="0">
                  <c:v>High</c:v>
                </c:pt>
                <c:pt idx="1">
                  <c:v>Medium</c:v>
                </c:pt>
                <c:pt idx="2">
                  <c:v>Low</c:v>
                </c:pt>
              </c:strCache>
            </c:strRef>
          </c:cat>
          <c:val>
            <c:numRef>
              <c:f>'Pivot Analysis'!$C$12:$C$15</c:f>
              <c:numCache>
                <c:formatCode>0.00</c:formatCode>
                <c:ptCount val="3"/>
                <c:pt idx="0">
                  <c:v>84.515337423312985</c:v>
                </c:pt>
                <c:pt idx="1">
                  <c:v>65.558766859344871</c:v>
                </c:pt>
                <c:pt idx="2">
                  <c:v>62.666666666666664</c:v>
                </c:pt>
              </c:numCache>
            </c:numRef>
          </c:val>
          <c:extLst>
            <c:ext xmlns:c16="http://schemas.microsoft.com/office/drawing/2014/chart" uri="{C3380CC4-5D6E-409C-BE32-E72D297353CC}">
              <c16:uniqueId val="{00000000-1C41-49DC-86A0-13B27C91FBD5}"/>
            </c:ext>
          </c:extLst>
        </c:ser>
        <c:dLbls>
          <c:dLblPos val="inEnd"/>
          <c:showLegendKey val="0"/>
          <c:showVal val="1"/>
          <c:showCatName val="0"/>
          <c:showSerName val="0"/>
          <c:showPercent val="0"/>
          <c:showBubbleSize val="0"/>
        </c:dLbls>
        <c:gapWidth val="150"/>
        <c:axId val="1614950176"/>
        <c:axId val="1773953920"/>
      </c:barChart>
      <c:catAx>
        <c:axId val="16149501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404040"/>
                </a:solidFill>
                <a:latin typeface="+mn-lt"/>
                <a:ea typeface="+mn-ea"/>
                <a:cs typeface="+mn-cs"/>
              </a:defRPr>
            </a:pPr>
            <a:endParaRPr lang="en-US"/>
          </a:p>
        </c:txPr>
        <c:crossAx val="1773953920"/>
        <c:crosses val="autoZero"/>
        <c:auto val="1"/>
        <c:lblAlgn val="ctr"/>
        <c:lblOffset val="100"/>
        <c:noMultiLvlLbl val="0"/>
      </c:catAx>
      <c:valAx>
        <c:axId val="1773953920"/>
        <c:scaling>
          <c:orientation val="minMax"/>
        </c:scaling>
        <c:delete val="1"/>
        <c:axPos val="b"/>
        <c:numFmt formatCode="0.00" sourceLinked="1"/>
        <c:majorTickMark val="out"/>
        <c:minorTickMark val="none"/>
        <c:tickLblPos val="nextTo"/>
        <c:crossAx val="161495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3"/>
      </a:solidFill>
      <a:prstDash val="solid"/>
      <a:miter lim="800000"/>
    </a:ln>
    <a:effectLst/>
  </c:spPr>
  <c:txPr>
    <a:bodyPr/>
    <a:lstStyle/>
    <a:p>
      <a:pPr>
        <a:defRPr>
          <a:solidFill>
            <a:srgbClr val="40404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^0 Study Behavior Analytics.xlsx]Pivot Analysis!PivotTable5</c:name>
    <c:fmtId val="1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rgbClr val="0072B2"/>
          </a:solidFill>
          <a:ln>
            <a:noFill/>
          </a:ln>
          <a:effectLst>
            <a:outerShdw blurRad="254000" sx="102000" sy="102000" algn="ctr" rotWithShape="0">
              <a:prstClr val="black">
                <a:alpha val="20000"/>
              </a:prstClr>
            </a:outerShdw>
          </a:effectLst>
          <a:scene3d>
            <a:camera prst="orthographicFront"/>
            <a:lightRig rig="threePt" dir="t"/>
          </a:scene3d>
        </c:spPr>
        <c:marker>
          <c:symbol val="none"/>
        </c:marker>
      </c:pivotFmt>
      <c:pivotFmt>
        <c:idx val="9"/>
        <c:spPr>
          <a:solidFill>
            <a:srgbClr val="0072B2"/>
          </a:solidFill>
          <a:ln>
            <a:noFill/>
          </a:ln>
          <a:effectLst>
            <a:outerShdw blurRad="254000" sx="102000" sy="102000" algn="ctr" rotWithShape="0">
              <a:prstClr val="black">
                <a:alpha val="20000"/>
              </a:prstClr>
            </a:outerShdw>
          </a:effectLst>
          <a:scene3d>
            <a:camera prst="orthographicFront"/>
            <a:lightRig rig="threePt" dir="t"/>
          </a:scene3d>
        </c:spPr>
      </c:pivotFmt>
      <c:pivotFmt>
        <c:idx val="10"/>
        <c:spPr>
          <a:solidFill>
            <a:srgbClr val="E69F00"/>
          </a:solidFill>
          <a:ln>
            <a:solidFill>
              <a:srgbClr val="E69F00"/>
            </a:solidFill>
          </a:ln>
          <a:effectLst>
            <a:outerShdw blurRad="254000" sx="102000" sy="102000" algn="ctr" rotWithShape="0">
              <a:prstClr val="black">
                <a:alpha val="20000"/>
              </a:prstClr>
            </a:outerShdw>
          </a:effectLst>
          <a:scene3d>
            <a:camera prst="orthographicFront"/>
            <a:lightRig rig="threePt" dir="t"/>
          </a:scene3d>
        </c:spPr>
      </c:pivotFmt>
      <c:pivotFmt>
        <c:idx val="11"/>
        <c:spPr>
          <a:solidFill>
            <a:srgbClr val="FF5743"/>
          </a:solidFill>
          <a:ln>
            <a:noFill/>
          </a:ln>
          <a:effectLst>
            <a:outerShdw blurRad="254000" sx="102000" sy="102000" algn="ctr" rotWithShape="0">
              <a:prstClr val="black">
                <a:alpha val="20000"/>
              </a:prstClr>
            </a:outerShdw>
          </a:effectLst>
          <a:scene3d>
            <a:camera prst="orthographicFront"/>
            <a:lightRig rig="threePt" dir="t"/>
          </a:scene3d>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pivotFmt>
    </c:pivotFmts>
    <c:plotArea>
      <c:layout/>
      <c:pieChart>
        <c:varyColors val="1"/>
        <c:ser>
          <c:idx val="0"/>
          <c:order val="0"/>
          <c:tx>
            <c:strRef>
              <c:f>'Pivot Analysis'!$G$11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BA-4099-9508-302AB532A9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BA-4099-9508-302AB532A9A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5BA-4099-9508-302AB532A9AE}"/>
              </c:ext>
            </c:extLst>
          </c:dPt>
          <c:dLbls>
            <c:delete val="1"/>
          </c:dLbls>
          <c:cat>
            <c:strRef>
              <c:f>'Pivot Analysis'!$F$12:$F$15</c:f>
              <c:strCache>
                <c:ptCount val="3"/>
                <c:pt idx="0">
                  <c:v>Excellent</c:v>
                </c:pt>
                <c:pt idx="1">
                  <c:v>Good</c:v>
                </c:pt>
                <c:pt idx="2">
                  <c:v>Needs Improvement</c:v>
                </c:pt>
              </c:strCache>
            </c:strRef>
          </c:cat>
          <c:val>
            <c:numRef>
              <c:f>'Pivot Analysis'!$G$12:$G$15</c:f>
              <c:numCache>
                <c:formatCode>General</c:formatCode>
                <c:ptCount val="3"/>
                <c:pt idx="0">
                  <c:v>266</c:v>
                </c:pt>
                <c:pt idx="1">
                  <c:v>217</c:v>
                </c:pt>
                <c:pt idx="2">
                  <c:v>17</c:v>
                </c:pt>
              </c:numCache>
            </c:numRef>
          </c:val>
          <c:extLst>
            <c:ext xmlns:c16="http://schemas.microsoft.com/office/drawing/2014/chart" uri="{C3380CC4-5D6E-409C-BE32-E72D297353CC}">
              <c16:uniqueId val="{00000006-25BA-4099-9508-302AB532A9A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l"/>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3"/>
      </a:solidFill>
      <a:prstDash val="solid"/>
      <a:miter lim="800000"/>
    </a:ln>
    <a:effectLst/>
  </c:spPr>
  <c:txPr>
    <a:bodyPr/>
    <a:lstStyle/>
    <a:p>
      <a:pPr>
        <a:defRPr>
          <a:solidFill>
            <a:srgbClr val="40404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^0 Study Behavior Analytics.xlsx]Pivot Analysis!PivotTable5</c:name>
    <c:fmtId val="19"/>
  </c:pivotSource>
  <c:chart>
    <c:autoTitleDeleted val="1"/>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2B2"/>
          </a:solidFill>
          <a:ln w="6350" cap="flat" cmpd="sng" algn="ctr">
            <a:solidFill>
              <a:srgbClr val="0072B2"/>
            </a:solidFill>
            <a:prstDash val="solid"/>
            <a:miter lim="800000"/>
          </a:ln>
          <a:effectLst/>
          <a:scene3d>
            <a:camera prst="orthographicFront"/>
            <a:lightRig rig="threePt" dir="t"/>
          </a:scene3d>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rgbClr val="40404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E65E00"/>
          </a:solidFill>
          <a:ln w="6350" cap="flat" cmpd="sng" algn="ctr">
            <a:solidFill>
              <a:srgbClr val="0072B2"/>
            </a:solidFill>
            <a:prstDash val="solid"/>
            <a:miter lim="800000"/>
          </a:ln>
          <a:effectLst/>
          <a:scene3d>
            <a:camera prst="orthographicFront"/>
            <a:lightRig rig="threePt" dir="t"/>
          </a:scene3d>
        </c:spPr>
      </c:pivotFmt>
    </c:pivotFmts>
    <c:plotArea>
      <c:layout/>
      <c:barChart>
        <c:barDir val="col"/>
        <c:grouping val="percentStacked"/>
        <c:varyColors val="0"/>
        <c:ser>
          <c:idx val="0"/>
          <c:order val="0"/>
          <c:tx>
            <c:strRef>
              <c:f>'Pivot Analysis'!$G$11</c:f>
              <c:strCache>
                <c:ptCount val="1"/>
                <c:pt idx="0">
                  <c:v>Total</c:v>
                </c:pt>
              </c:strCache>
            </c:strRef>
          </c:tx>
          <c:spPr>
            <a:solidFill>
              <a:srgbClr val="0072B2"/>
            </a:solidFill>
            <a:ln w="6350" cap="flat" cmpd="sng" algn="ctr">
              <a:solidFill>
                <a:srgbClr val="0072B2"/>
              </a:solidFill>
              <a:prstDash val="solid"/>
              <a:miter lim="800000"/>
            </a:ln>
            <a:effectLst/>
            <a:scene3d>
              <a:camera prst="orthographicFront"/>
              <a:lightRig rig="threePt" dir="t"/>
            </a:scene3d>
          </c:spPr>
          <c:invertIfNegative val="0"/>
          <c:dPt>
            <c:idx val="2"/>
            <c:invertIfNegative val="0"/>
            <c:bubble3D val="0"/>
            <c:spPr>
              <a:solidFill>
                <a:srgbClr val="E65E00"/>
              </a:solidFill>
              <a:ln w="6350" cap="flat" cmpd="sng" algn="ctr">
                <a:solidFill>
                  <a:srgbClr val="0072B2"/>
                </a:solidFill>
                <a:prstDash val="solid"/>
                <a:miter lim="800000"/>
              </a:ln>
              <a:effectLst/>
              <a:scene3d>
                <a:camera prst="orthographicFront"/>
                <a:lightRig rig="threePt" dir="t"/>
              </a:scene3d>
            </c:spPr>
            <c:extLst>
              <c:ext xmlns:c16="http://schemas.microsoft.com/office/drawing/2014/chart" uri="{C3380CC4-5D6E-409C-BE32-E72D297353CC}">
                <c16:uniqueId val="{00000000-98BF-4A3D-A71B-E6EAE5E1CD8F}"/>
              </c:ext>
            </c:extLst>
          </c:dPt>
          <c:dLbls>
            <c:spPr>
              <a:noFill/>
              <a:ln>
                <a:noFill/>
              </a:ln>
              <a:effectLst/>
            </c:spPr>
            <c:txPr>
              <a:bodyPr rot="0" spcFirstLastPara="1" vertOverflow="ellipsis" vert="horz" wrap="square" anchor="ctr" anchorCtr="1"/>
              <a:lstStyle/>
              <a:p>
                <a:pPr>
                  <a:defRPr sz="900" b="1" i="0" u="none" strike="noStrike" kern="1200" baseline="0">
                    <a:solidFill>
                      <a:srgbClr val="40404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Analysis'!$F$12:$F$15</c:f>
              <c:strCache>
                <c:ptCount val="3"/>
                <c:pt idx="0">
                  <c:v>Excellent</c:v>
                </c:pt>
                <c:pt idx="1">
                  <c:v>Good</c:v>
                </c:pt>
                <c:pt idx="2">
                  <c:v>Needs Improvement</c:v>
                </c:pt>
              </c:strCache>
            </c:strRef>
          </c:cat>
          <c:val>
            <c:numRef>
              <c:f>'Pivot Analysis'!$G$12:$G$15</c:f>
              <c:numCache>
                <c:formatCode>General</c:formatCode>
                <c:ptCount val="3"/>
                <c:pt idx="0">
                  <c:v>266</c:v>
                </c:pt>
                <c:pt idx="1">
                  <c:v>217</c:v>
                </c:pt>
                <c:pt idx="2">
                  <c:v>17</c:v>
                </c:pt>
              </c:numCache>
            </c:numRef>
          </c:val>
          <c:extLst>
            <c:ext xmlns:c16="http://schemas.microsoft.com/office/drawing/2014/chart" uri="{C3380CC4-5D6E-409C-BE32-E72D297353CC}">
              <c16:uniqueId val="{00000000-73E2-4E30-BF9E-FF6F6EC17C4E}"/>
            </c:ext>
          </c:extLst>
        </c:ser>
        <c:dLbls>
          <c:dLblPos val="inEnd"/>
          <c:showLegendKey val="0"/>
          <c:showVal val="1"/>
          <c:showCatName val="0"/>
          <c:showSerName val="0"/>
          <c:showPercent val="0"/>
          <c:showBubbleSize val="0"/>
        </c:dLbls>
        <c:gapWidth val="150"/>
        <c:overlap val="100"/>
        <c:axId val="1768939120"/>
        <c:axId val="1779033936"/>
      </c:barChart>
      <c:catAx>
        <c:axId val="17689391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404040"/>
                </a:solidFill>
                <a:latin typeface="+mn-lt"/>
                <a:ea typeface="+mn-ea"/>
                <a:cs typeface="+mn-cs"/>
              </a:defRPr>
            </a:pPr>
            <a:endParaRPr lang="en-US"/>
          </a:p>
        </c:txPr>
        <c:crossAx val="1779033936"/>
        <c:crosses val="autoZero"/>
        <c:auto val="1"/>
        <c:lblAlgn val="ctr"/>
        <c:lblOffset val="100"/>
        <c:noMultiLvlLbl val="0"/>
      </c:catAx>
      <c:valAx>
        <c:axId val="17790339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76893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3"/>
      </a:solidFill>
      <a:prstDash val="solid"/>
      <a:miter lim="800000"/>
    </a:ln>
    <a:effectLst/>
  </c:spPr>
  <c:txPr>
    <a:bodyPr/>
    <a:lstStyle/>
    <a:p>
      <a:pPr>
        <a:defRPr>
          <a:solidFill>
            <a:srgbClr val="40404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rgbClr val="404040"/>
                </a:solidFill>
                <a:latin typeface="+mn-lt"/>
                <a:ea typeface="+mn-ea"/>
                <a:cs typeface="+mn-cs"/>
              </a:defRPr>
            </a:pPr>
            <a:r>
              <a:rPr lang="en-IN"/>
              <a:t>Study Hours vs Average Score</a:t>
            </a:r>
          </a:p>
        </c:rich>
      </c:tx>
      <c:layout/>
      <c:overlay val="0"/>
      <c:spPr>
        <a:noFill/>
        <a:ln>
          <a:noFill/>
        </a:ln>
        <a:effectLst/>
      </c:spPr>
      <c:txPr>
        <a:bodyPr rot="0" spcFirstLastPara="1" vertOverflow="ellipsis" vert="horz" wrap="square" anchor="ctr" anchorCtr="1"/>
        <a:lstStyle/>
        <a:p>
          <a:pPr>
            <a:defRPr sz="2000" b="0" i="0" u="none" strike="noStrike" kern="1200" spc="0" normalizeH="0" baseline="0">
              <a:solidFill>
                <a:srgbClr val="404040"/>
              </a:solidFill>
              <a:latin typeface="+mn-lt"/>
              <a:ea typeface="+mn-ea"/>
              <a:cs typeface="+mn-cs"/>
            </a:defRPr>
          </a:pPr>
          <a:endParaRPr lang="en-US"/>
        </a:p>
      </c:txPr>
    </c:title>
    <c:autoTitleDeleted val="0"/>
    <c:plotArea>
      <c:layout/>
      <c:scatterChart>
        <c:scatterStyle val="lineMarker"/>
        <c:varyColors val="0"/>
        <c:ser>
          <c:idx val="0"/>
          <c:order val="0"/>
          <c:tx>
            <c:strRef>
              <c:f>'Clean Data'!$N$3</c:f>
              <c:strCache>
                <c:ptCount val="1"/>
                <c:pt idx="0">
                  <c:v>Average_Score</c:v>
                </c:pt>
              </c:strCache>
            </c:strRef>
          </c:tx>
          <c:spPr>
            <a:ln w="25400" cap="flat" cmpd="dbl" algn="ctr">
              <a:noFill/>
              <a:round/>
            </a:ln>
            <a:effectLst/>
          </c:spPr>
          <c:marker>
            <c:symbol val="circle"/>
            <c:size val="6"/>
            <c:spPr>
              <a:solidFill>
                <a:srgbClr val="0072B2"/>
              </a:solidFill>
              <a:ln w="6350" cap="flat" cmpd="sng" algn="ctr">
                <a:noFill/>
                <a:prstDash val="solid"/>
                <a:miter lim="800000"/>
              </a:ln>
              <a:effectLst/>
            </c:spPr>
          </c:marker>
          <c:xVal>
            <c:numRef>
              <c:f>'Clean Data'!$E$4:$E$503</c:f>
              <c:numCache>
                <c:formatCode>General</c:formatCode>
                <c:ptCount val="500"/>
                <c:pt idx="0">
                  <c:v>3</c:v>
                </c:pt>
                <c:pt idx="1">
                  <c:v>5</c:v>
                </c:pt>
                <c:pt idx="2">
                  <c:v>0</c:v>
                </c:pt>
                <c:pt idx="3">
                  <c:v>4</c:v>
                </c:pt>
                <c:pt idx="4">
                  <c:v>6</c:v>
                </c:pt>
                <c:pt idx="5">
                  <c:v>3</c:v>
                </c:pt>
                <c:pt idx="6">
                  <c:v>1</c:v>
                </c:pt>
                <c:pt idx="7">
                  <c:v>5</c:v>
                </c:pt>
                <c:pt idx="8">
                  <c:v>4</c:v>
                </c:pt>
                <c:pt idx="9">
                  <c:v>6</c:v>
                </c:pt>
                <c:pt idx="10">
                  <c:v>2</c:v>
                </c:pt>
                <c:pt idx="11">
                  <c:v>4</c:v>
                </c:pt>
                <c:pt idx="12">
                  <c:v>3</c:v>
                </c:pt>
                <c:pt idx="13">
                  <c:v>5</c:v>
                </c:pt>
                <c:pt idx="14">
                  <c:v>2</c:v>
                </c:pt>
                <c:pt idx="15">
                  <c:v>4</c:v>
                </c:pt>
                <c:pt idx="16">
                  <c:v>6</c:v>
                </c:pt>
                <c:pt idx="17">
                  <c:v>3</c:v>
                </c:pt>
                <c:pt idx="18">
                  <c:v>2</c:v>
                </c:pt>
                <c:pt idx="19">
                  <c:v>5</c:v>
                </c:pt>
                <c:pt idx="20">
                  <c:v>3</c:v>
                </c:pt>
                <c:pt idx="21">
                  <c:v>4</c:v>
                </c:pt>
                <c:pt idx="22">
                  <c:v>1</c:v>
                </c:pt>
                <c:pt idx="23">
                  <c:v>5</c:v>
                </c:pt>
                <c:pt idx="24">
                  <c:v>3</c:v>
                </c:pt>
                <c:pt idx="25">
                  <c:v>6</c:v>
                </c:pt>
                <c:pt idx="26">
                  <c:v>2</c:v>
                </c:pt>
                <c:pt idx="27">
                  <c:v>4</c:v>
                </c:pt>
                <c:pt idx="28">
                  <c:v>3</c:v>
                </c:pt>
                <c:pt idx="29">
                  <c:v>5</c:v>
                </c:pt>
                <c:pt idx="30">
                  <c:v>2</c:v>
                </c:pt>
                <c:pt idx="31">
                  <c:v>4</c:v>
                </c:pt>
                <c:pt idx="32">
                  <c:v>6</c:v>
                </c:pt>
                <c:pt idx="33">
                  <c:v>3</c:v>
                </c:pt>
                <c:pt idx="34">
                  <c:v>2</c:v>
                </c:pt>
                <c:pt idx="35">
                  <c:v>5</c:v>
                </c:pt>
                <c:pt idx="36">
                  <c:v>3</c:v>
                </c:pt>
                <c:pt idx="37">
                  <c:v>4</c:v>
                </c:pt>
                <c:pt idx="38">
                  <c:v>1</c:v>
                </c:pt>
                <c:pt idx="39">
                  <c:v>5</c:v>
                </c:pt>
                <c:pt idx="40">
                  <c:v>3</c:v>
                </c:pt>
                <c:pt idx="41">
                  <c:v>6</c:v>
                </c:pt>
                <c:pt idx="42">
                  <c:v>2</c:v>
                </c:pt>
                <c:pt idx="43">
                  <c:v>4</c:v>
                </c:pt>
                <c:pt idx="44">
                  <c:v>3</c:v>
                </c:pt>
                <c:pt idx="45">
                  <c:v>5</c:v>
                </c:pt>
                <c:pt idx="46">
                  <c:v>2</c:v>
                </c:pt>
                <c:pt idx="47">
                  <c:v>4</c:v>
                </c:pt>
                <c:pt idx="48">
                  <c:v>6</c:v>
                </c:pt>
                <c:pt idx="49">
                  <c:v>3</c:v>
                </c:pt>
                <c:pt idx="50">
                  <c:v>3</c:v>
                </c:pt>
                <c:pt idx="51">
                  <c:v>4</c:v>
                </c:pt>
                <c:pt idx="52">
                  <c:v>5</c:v>
                </c:pt>
                <c:pt idx="53">
                  <c:v>4</c:v>
                </c:pt>
                <c:pt idx="54">
                  <c:v>2</c:v>
                </c:pt>
                <c:pt idx="55">
                  <c:v>3</c:v>
                </c:pt>
                <c:pt idx="56">
                  <c:v>5</c:v>
                </c:pt>
                <c:pt idx="57">
                  <c:v>4</c:v>
                </c:pt>
                <c:pt idx="58">
                  <c:v>1</c:v>
                </c:pt>
                <c:pt idx="59">
                  <c:v>6</c:v>
                </c:pt>
                <c:pt idx="60">
                  <c:v>3</c:v>
                </c:pt>
                <c:pt idx="61">
                  <c:v>0</c:v>
                </c:pt>
                <c:pt idx="62">
                  <c:v>2</c:v>
                </c:pt>
                <c:pt idx="63">
                  <c:v>3</c:v>
                </c:pt>
                <c:pt idx="64">
                  <c:v>5</c:v>
                </c:pt>
                <c:pt idx="65">
                  <c:v>4</c:v>
                </c:pt>
                <c:pt idx="66">
                  <c:v>3</c:v>
                </c:pt>
                <c:pt idx="67">
                  <c:v>6</c:v>
                </c:pt>
                <c:pt idx="68">
                  <c:v>2</c:v>
                </c:pt>
                <c:pt idx="69">
                  <c:v>5</c:v>
                </c:pt>
                <c:pt idx="70">
                  <c:v>3</c:v>
                </c:pt>
                <c:pt idx="71">
                  <c:v>4</c:v>
                </c:pt>
                <c:pt idx="72">
                  <c:v>2</c:v>
                </c:pt>
                <c:pt idx="73">
                  <c:v>5</c:v>
                </c:pt>
                <c:pt idx="74">
                  <c:v>1</c:v>
                </c:pt>
                <c:pt idx="75">
                  <c:v>6</c:v>
                </c:pt>
                <c:pt idx="76">
                  <c:v>3</c:v>
                </c:pt>
                <c:pt idx="77">
                  <c:v>2</c:v>
                </c:pt>
                <c:pt idx="78">
                  <c:v>4</c:v>
                </c:pt>
                <c:pt idx="79">
                  <c:v>3</c:v>
                </c:pt>
                <c:pt idx="80">
                  <c:v>5</c:v>
                </c:pt>
                <c:pt idx="81">
                  <c:v>2</c:v>
                </c:pt>
                <c:pt idx="82">
                  <c:v>6</c:v>
                </c:pt>
                <c:pt idx="83">
                  <c:v>3</c:v>
                </c:pt>
                <c:pt idx="84">
                  <c:v>4</c:v>
                </c:pt>
                <c:pt idx="85">
                  <c:v>5</c:v>
                </c:pt>
                <c:pt idx="86">
                  <c:v>2</c:v>
                </c:pt>
                <c:pt idx="87">
                  <c:v>4</c:v>
                </c:pt>
                <c:pt idx="88">
                  <c:v>3</c:v>
                </c:pt>
                <c:pt idx="89">
                  <c:v>5</c:v>
                </c:pt>
                <c:pt idx="90">
                  <c:v>2</c:v>
                </c:pt>
                <c:pt idx="91">
                  <c:v>4</c:v>
                </c:pt>
                <c:pt idx="92">
                  <c:v>6</c:v>
                </c:pt>
                <c:pt idx="93">
                  <c:v>3</c:v>
                </c:pt>
                <c:pt idx="94">
                  <c:v>2</c:v>
                </c:pt>
                <c:pt idx="95">
                  <c:v>5</c:v>
                </c:pt>
                <c:pt idx="96">
                  <c:v>3</c:v>
                </c:pt>
                <c:pt idx="97">
                  <c:v>4</c:v>
                </c:pt>
                <c:pt idx="98">
                  <c:v>1</c:v>
                </c:pt>
                <c:pt idx="99">
                  <c:v>5</c:v>
                </c:pt>
                <c:pt idx="100">
                  <c:v>3</c:v>
                </c:pt>
                <c:pt idx="101">
                  <c:v>4</c:v>
                </c:pt>
                <c:pt idx="102">
                  <c:v>5</c:v>
                </c:pt>
                <c:pt idx="103">
                  <c:v>4</c:v>
                </c:pt>
                <c:pt idx="104">
                  <c:v>5</c:v>
                </c:pt>
                <c:pt idx="105">
                  <c:v>3</c:v>
                </c:pt>
                <c:pt idx="106">
                  <c:v>4</c:v>
                </c:pt>
                <c:pt idx="107">
                  <c:v>2</c:v>
                </c:pt>
                <c:pt idx="108">
                  <c:v>5</c:v>
                </c:pt>
                <c:pt idx="109">
                  <c:v>3</c:v>
                </c:pt>
                <c:pt idx="110">
                  <c:v>4</c:v>
                </c:pt>
                <c:pt idx="111">
                  <c:v>6</c:v>
                </c:pt>
                <c:pt idx="112">
                  <c:v>3</c:v>
                </c:pt>
                <c:pt idx="113">
                  <c:v>2</c:v>
                </c:pt>
                <c:pt idx="114">
                  <c:v>5</c:v>
                </c:pt>
                <c:pt idx="115">
                  <c:v>4</c:v>
                </c:pt>
                <c:pt idx="116">
                  <c:v>3</c:v>
                </c:pt>
                <c:pt idx="117">
                  <c:v>5</c:v>
                </c:pt>
                <c:pt idx="118">
                  <c:v>2</c:v>
                </c:pt>
                <c:pt idx="119">
                  <c:v>4</c:v>
                </c:pt>
                <c:pt idx="120">
                  <c:v>6</c:v>
                </c:pt>
                <c:pt idx="121">
                  <c:v>3</c:v>
                </c:pt>
                <c:pt idx="122">
                  <c:v>4</c:v>
                </c:pt>
                <c:pt idx="123">
                  <c:v>5</c:v>
                </c:pt>
                <c:pt idx="124">
                  <c:v>2</c:v>
                </c:pt>
                <c:pt idx="125">
                  <c:v>4</c:v>
                </c:pt>
                <c:pt idx="126">
                  <c:v>3</c:v>
                </c:pt>
                <c:pt idx="127">
                  <c:v>5</c:v>
                </c:pt>
                <c:pt idx="128">
                  <c:v>2</c:v>
                </c:pt>
                <c:pt idx="129">
                  <c:v>4</c:v>
                </c:pt>
                <c:pt idx="130">
                  <c:v>6</c:v>
                </c:pt>
                <c:pt idx="131">
                  <c:v>3</c:v>
                </c:pt>
                <c:pt idx="132">
                  <c:v>5</c:v>
                </c:pt>
                <c:pt idx="133">
                  <c:v>3</c:v>
                </c:pt>
                <c:pt idx="134">
                  <c:v>4</c:v>
                </c:pt>
                <c:pt idx="135">
                  <c:v>2</c:v>
                </c:pt>
                <c:pt idx="136">
                  <c:v>5</c:v>
                </c:pt>
                <c:pt idx="137">
                  <c:v>3</c:v>
                </c:pt>
                <c:pt idx="138">
                  <c:v>4</c:v>
                </c:pt>
                <c:pt idx="139">
                  <c:v>6</c:v>
                </c:pt>
                <c:pt idx="140">
                  <c:v>3</c:v>
                </c:pt>
                <c:pt idx="141">
                  <c:v>2</c:v>
                </c:pt>
                <c:pt idx="142">
                  <c:v>5</c:v>
                </c:pt>
                <c:pt idx="143">
                  <c:v>3</c:v>
                </c:pt>
                <c:pt idx="144">
                  <c:v>4</c:v>
                </c:pt>
                <c:pt idx="145">
                  <c:v>2</c:v>
                </c:pt>
                <c:pt idx="146">
                  <c:v>5</c:v>
                </c:pt>
                <c:pt idx="147">
                  <c:v>3</c:v>
                </c:pt>
                <c:pt idx="148">
                  <c:v>4</c:v>
                </c:pt>
                <c:pt idx="149">
                  <c:v>6</c:v>
                </c:pt>
                <c:pt idx="150">
                  <c:v>3</c:v>
                </c:pt>
                <c:pt idx="151">
                  <c:v>2</c:v>
                </c:pt>
                <c:pt idx="152">
                  <c:v>5</c:v>
                </c:pt>
                <c:pt idx="153">
                  <c:v>4</c:v>
                </c:pt>
                <c:pt idx="154">
                  <c:v>2</c:v>
                </c:pt>
                <c:pt idx="155">
                  <c:v>3</c:v>
                </c:pt>
                <c:pt idx="156">
                  <c:v>5</c:v>
                </c:pt>
                <c:pt idx="157">
                  <c:v>4</c:v>
                </c:pt>
                <c:pt idx="158">
                  <c:v>1</c:v>
                </c:pt>
                <c:pt idx="159">
                  <c:v>6</c:v>
                </c:pt>
                <c:pt idx="160">
                  <c:v>3</c:v>
                </c:pt>
                <c:pt idx="161">
                  <c:v>0</c:v>
                </c:pt>
                <c:pt idx="162">
                  <c:v>2</c:v>
                </c:pt>
                <c:pt idx="163">
                  <c:v>3</c:v>
                </c:pt>
                <c:pt idx="164">
                  <c:v>5</c:v>
                </c:pt>
                <c:pt idx="165">
                  <c:v>4</c:v>
                </c:pt>
                <c:pt idx="166">
                  <c:v>3</c:v>
                </c:pt>
                <c:pt idx="167">
                  <c:v>6</c:v>
                </c:pt>
                <c:pt idx="168">
                  <c:v>2</c:v>
                </c:pt>
                <c:pt idx="169">
                  <c:v>5</c:v>
                </c:pt>
                <c:pt idx="170">
                  <c:v>3</c:v>
                </c:pt>
                <c:pt idx="171">
                  <c:v>4</c:v>
                </c:pt>
                <c:pt idx="172">
                  <c:v>2</c:v>
                </c:pt>
                <c:pt idx="173">
                  <c:v>5</c:v>
                </c:pt>
                <c:pt idx="174">
                  <c:v>1</c:v>
                </c:pt>
                <c:pt idx="175">
                  <c:v>6</c:v>
                </c:pt>
                <c:pt idx="176">
                  <c:v>3</c:v>
                </c:pt>
                <c:pt idx="177">
                  <c:v>2</c:v>
                </c:pt>
                <c:pt idx="178">
                  <c:v>4</c:v>
                </c:pt>
                <c:pt idx="179">
                  <c:v>3</c:v>
                </c:pt>
                <c:pt idx="180">
                  <c:v>5</c:v>
                </c:pt>
                <c:pt idx="181">
                  <c:v>2</c:v>
                </c:pt>
                <c:pt idx="182">
                  <c:v>6</c:v>
                </c:pt>
                <c:pt idx="183">
                  <c:v>3</c:v>
                </c:pt>
                <c:pt idx="184">
                  <c:v>4</c:v>
                </c:pt>
                <c:pt idx="185">
                  <c:v>5</c:v>
                </c:pt>
                <c:pt idx="186">
                  <c:v>2</c:v>
                </c:pt>
                <c:pt idx="187">
                  <c:v>4</c:v>
                </c:pt>
                <c:pt idx="188">
                  <c:v>3</c:v>
                </c:pt>
                <c:pt idx="189">
                  <c:v>5</c:v>
                </c:pt>
                <c:pt idx="190">
                  <c:v>2</c:v>
                </c:pt>
                <c:pt idx="191">
                  <c:v>4</c:v>
                </c:pt>
                <c:pt idx="192">
                  <c:v>6</c:v>
                </c:pt>
                <c:pt idx="193">
                  <c:v>3</c:v>
                </c:pt>
                <c:pt idx="194">
                  <c:v>2</c:v>
                </c:pt>
                <c:pt idx="195">
                  <c:v>5</c:v>
                </c:pt>
                <c:pt idx="196">
                  <c:v>3</c:v>
                </c:pt>
                <c:pt idx="197">
                  <c:v>4</c:v>
                </c:pt>
                <c:pt idx="198">
                  <c:v>1</c:v>
                </c:pt>
                <c:pt idx="199">
                  <c:v>5</c:v>
                </c:pt>
                <c:pt idx="200">
                  <c:v>3</c:v>
                </c:pt>
                <c:pt idx="201">
                  <c:v>4</c:v>
                </c:pt>
                <c:pt idx="202">
                  <c:v>5</c:v>
                </c:pt>
                <c:pt idx="203">
                  <c:v>4</c:v>
                </c:pt>
                <c:pt idx="204">
                  <c:v>5</c:v>
                </c:pt>
                <c:pt idx="205">
                  <c:v>3</c:v>
                </c:pt>
                <c:pt idx="206">
                  <c:v>4</c:v>
                </c:pt>
                <c:pt idx="207">
                  <c:v>2</c:v>
                </c:pt>
                <c:pt idx="208">
                  <c:v>5</c:v>
                </c:pt>
                <c:pt idx="209">
                  <c:v>3</c:v>
                </c:pt>
                <c:pt idx="210">
                  <c:v>4</c:v>
                </c:pt>
                <c:pt idx="211">
                  <c:v>6</c:v>
                </c:pt>
                <c:pt idx="212">
                  <c:v>3</c:v>
                </c:pt>
                <c:pt idx="213">
                  <c:v>2</c:v>
                </c:pt>
                <c:pt idx="214">
                  <c:v>5</c:v>
                </c:pt>
                <c:pt idx="215">
                  <c:v>4</c:v>
                </c:pt>
                <c:pt idx="216">
                  <c:v>3</c:v>
                </c:pt>
                <c:pt idx="217">
                  <c:v>5</c:v>
                </c:pt>
                <c:pt idx="218">
                  <c:v>2</c:v>
                </c:pt>
                <c:pt idx="219">
                  <c:v>4</c:v>
                </c:pt>
                <c:pt idx="220">
                  <c:v>6</c:v>
                </c:pt>
                <c:pt idx="221">
                  <c:v>3</c:v>
                </c:pt>
                <c:pt idx="222">
                  <c:v>4</c:v>
                </c:pt>
                <c:pt idx="223">
                  <c:v>5</c:v>
                </c:pt>
                <c:pt idx="224">
                  <c:v>2</c:v>
                </c:pt>
                <c:pt idx="225">
                  <c:v>4</c:v>
                </c:pt>
                <c:pt idx="226">
                  <c:v>3</c:v>
                </c:pt>
                <c:pt idx="227">
                  <c:v>5</c:v>
                </c:pt>
                <c:pt idx="228">
                  <c:v>2</c:v>
                </c:pt>
                <c:pt idx="229">
                  <c:v>4</c:v>
                </c:pt>
                <c:pt idx="230">
                  <c:v>6</c:v>
                </c:pt>
                <c:pt idx="231">
                  <c:v>3</c:v>
                </c:pt>
                <c:pt idx="232">
                  <c:v>5</c:v>
                </c:pt>
                <c:pt idx="233">
                  <c:v>3</c:v>
                </c:pt>
                <c:pt idx="234">
                  <c:v>4</c:v>
                </c:pt>
                <c:pt idx="235">
                  <c:v>2</c:v>
                </c:pt>
                <c:pt idx="236">
                  <c:v>5</c:v>
                </c:pt>
                <c:pt idx="237">
                  <c:v>3</c:v>
                </c:pt>
                <c:pt idx="238">
                  <c:v>4</c:v>
                </c:pt>
                <c:pt idx="239">
                  <c:v>6</c:v>
                </c:pt>
                <c:pt idx="240">
                  <c:v>3</c:v>
                </c:pt>
                <c:pt idx="241">
                  <c:v>2</c:v>
                </c:pt>
                <c:pt idx="242">
                  <c:v>5</c:v>
                </c:pt>
                <c:pt idx="243">
                  <c:v>3</c:v>
                </c:pt>
                <c:pt idx="244">
                  <c:v>4</c:v>
                </c:pt>
                <c:pt idx="245">
                  <c:v>2</c:v>
                </c:pt>
                <c:pt idx="246">
                  <c:v>5</c:v>
                </c:pt>
                <c:pt idx="247">
                  <c:v>3</c:v>
                </c:pt>
                <c:pt idx="248">
                  <c:v>4</c:v>
                </c:pt>
                <c:pt idx="249">
                  <c:v>6</c:v>
                </c:pt>
                <c:pt idx="250">
                  <c:v>3</c:v>
                </c:pt>
                <c:pt idx="251">
                  <c:v>5</c:v>
                </c:pt>
                <c:pt idx="252">
                  <c:v>0</c:v>
                </c:pt>
                <c:pt idx="253">
                  <c:v>2</c:v>
                </c:pt>
                <c:pt idx="254">
                  <c:v>5</c:v>
                </c:pt>
                <c:pt idx="255">
                  <c:v>3</c:v>
                </c:pt>
                <c:pt idx="256">
                  <c:v>5</c:v>
                </c:pt>
                <c:pt idx="257">
                  <c:v>0</c:v>
                </c:pt>
                <c:pt idx="258">
                  <c:v>2</c:v>
                </c:pt>
                <c:pt idx="259">
                  <c:v>5</c:v>
                </c:pt>
                <c:pt idx="260">
                  <c:v>4</c:v>
                </c:pt>
                <c:pt idx="261">
                  <c:v>2</c:v>
                </c:pt>
                <c:pt idx="262">
                  <c:v>5</c:v>
                </c:pt>
                <c:pt idx="263">
                  <c:v>6</c:v>
                </c:pt>
                <c:pt idx="264">
                  <c:v>3</c:v>
                </c:pt>
                <c:pt idx="265">
                  <c:v>4</c:v>
                </c:pt>
                <c:pt idx="266">
                  <c:v>2</c:v>
                </c:pt>
                <c:pt idx="267">
                  <c:v>5</c:v>
                </c:pt>
                <c:pt idx="268">
                  <c:v>1</c:v>
                </c:pt>
                <c:pt idx="269">
                  <c:v>4</c:v>
                </c:pt>
                <c:pt idx="270">
                  <c:v>3</c:v>
                </c:pt>
                <c:pt idx="271">
                  <c:v>4</c:v>
                </c:pt>
                <c:pt idx="272">
                  <c:v>6</c:v>
                </c:pt>
                <c:pt idx="273">
                  <c:v>3</c:v>
                </c:pt>
                <c:pt idx="274">
                  <c:v>2</c:v>
                </c:pt>
                <c:pt idx="275">
                  <c:v>5</c:v>
                </c:pt>
                <c:pt idx="276">
                  <c:v>3</c:v>
                </c:pt>
                <c:pt idx="277">
                  <c:v>4</c:v>
                </c:pt>
                <c:pt idx="278">
                  <c:v>2</c:v>
                </c:pt>
                <c:pt idx="279">
                  <c:v>5</c:v>
                </c:pt>
                <c:pt idx="280">
                  <c:v>3</c:v>
                </c:pt>
                <c:pt idx="281">
                  <c:v>4</c:v>
                </c:pt>
                <c:pt idx="282">
                  <c:v>6</c:v>
                </c:pt>
                <c:pt idx="283">
                  <c:v>3</c:v>
                </c:pt>
                <c:pt idx="284">
                  <c:v>2</c:v>
                </c:pt>
                <c:pt idx="285">
                  <c:v>5</c:v>
                </c:pt>
                <c:pt idx="286">
                  <c:v>3</c:v>
                </c:pt>
                <c:pt idx="287">
                  <c:v>4</c:v>
                </c:pt>
                <c:pt idx="288">
                  <c:v>2</c:v>
                </c:pt>
                <c:pt idx="289">
                  <c:v>5</c:v>
                </c:pt>
                <c:pt idx="290">
                  <c:v>3</c:v>
                </c:pt>
                <c:pt idx="291">
                  <c:v>4</c:v>
                </c:pt>
                <c:pt idx="292">
                  <c:v>6</c:v>
                </c:pt>
                <c:pt idx="293">
                  <c:v>2</c:v>
                </c:pt>
                <c:pt idx="294">
                  <c:v>5</c:v>
                </c:pt>
                <c:pt idx="295">
                  <c:v>3</c:v>
                </c:pt>
                <c:pt idx="296">
                  <c:v>4</c:v>
                </c:pt>
                <c:pt idx="297">
                  <c:v>2</c:v>
                </c:pt>
                <c:pt idx="298">
                  <c:v>5</c:v>
                </c:pt>
                <c:pt idx="299">
                  <c:v>3</c:v>
                </c:pt>
                <c:pt idx="300">
                  <c:v>4</c:v>
                </c:pt>
                <c:pt idx="301">
                  <c:v>3</c:v>
                </c:pt>
                <c:pt idx="302">
                  <c:v>0</c:v>
                </c:pt>
                <c:pt idx="303">
                  <c:v>4</c:v>
                </c:pt>
                <c:pt idx="304">
                  <c:v>3</c:v>
                </c:pt>
                <c:pt idx="305">
                  <c:v>4</c:v>
                </c:pt>
                <c:pt idx="306">
                  <c:v>5</c:v>
                </c:pt>
                <c:pt idx="307">
                  <c:v>0</c:v>
                </c:pt>
                <c:pt idx="308">
                  <c:v>2</c:v>
                </c:pt>
                <c:pt idx="309">
                  <c:v>5</c:v>
                </c:pt>
                <c:pt idx="310">
                  <c:v>3</c:v>
                </c:pt>
                <c:pt idx="311">
                  <c:v>4</c:v>
                </c:pt>
                <c:pt idx="312">
                  <c:v>2</c:v>
                </c:pt>
                <c:pt idx="313">
                  <c:v>5</c:v>
                </c:pt>
                <c:pt idx="314">
                  <c:v>6</c:v>
                </c:pt>
                <c:pt idx="315">
                  <c:v>3</c:v>
                </c:pt>
                <c:pt idx="316">
                  <c:v>4</c:v>
                </c:pt>
                <c:pt idx="317">
                  <c:v>2</c:v>
                </c:pt>
                <c:pt idx="318">
                  <c:v>5</c:v>
                </c:pt>
                <c:pt idx="319">
                  <c:v>3</c:v>
                </c:pt>
                <c:pt idx="320">
                  <c:v>4</c:v>
                </c:pt>
                <c:pt idx="321">
                  <c:v>1</c:v>
                </c:pt>
                <c:pt idx="322">
                  <c:v>5</c:v>
                </c:pt>
                <c:pt idx="323">
                  <c:v>3</c:v>
                </c:pt>
                <c:pt idx="324">
                  <c:v>4</c:v>
                </c:pt>
                <c:pt idx="325">
                  <c:v>6</c:v>
                </c:pt>
                <c:pt idx="326">
                  <c:v>3</c:v>
                </c:pt>
                <c:pt idx="327">
                  <c:v>2</c:v>
                </c:pt>
                <c:pt idx="328">
                  <c:v>5</c:v>
                </c:pt>
                <c:pt idx="329">
                  <c:v>3</c:v>
                </c:pt>
                <c:pt idx="330">
                  <c:v>4</c:v>
                </c:pt>
                <c:pt idx="331">
                  <c:v>2</c:v>
                </c:pt>
                <c:pt idx="332">
                  <c:v>5</c:v>
                </c:pt>
                <c:pt idx="333">
                  <c:v>3</c:v>
                </c:pt>
                <c:pt idx="334">
                  <c:v>4</c:v>
                </c:pt>
                <c:pt idx="335">
                  <c:v>6</c:v>
                </c:pt>
                <c:pt idx="336">
                  <c:v>3</c:v>
                </c:pt>
                <c:pt idx="337">
                  <c:v>2</c:v>
                </c:pt>
                <c:pt idx="338">
                  <c:v>5</c:v>
                </c:pt>
                <c:pt idx="339">
                  <c:v>3</c:v>
                </c:pt>
                <c:pt idx="340">
                  <c:v>4</c:v>
                </c:pt>
                <c:pt idx="341">
                  <c:v>2</c:v>
                </c:pt>
                <c:pt idx="342">
                  <c:v>5</c:v>
                </c:pt>
                <c:pt idx="343">
                  <c:v>3</c:v>
                </c:pt>
                <c:pt idx="344">
                  <c:v>4</c:v>
                </c:pt>
                <c:pt idx="345">
                  <c:v>6</c:v>
                </c:pt>
                <c:pt idx="346">
                  <c:v>3</c:v>
                </c:pt>
                <c:pt idx="347">
                  <c:v>2</c:v>
                </c:pt>
                <c:pt idx="348">
                  <c:v>5</c:v>
                </c:pt>
                <c:pt idx="349">
                  <c:v>3</c:v>
                </c:pt>
                <c:pt idx="350">
                  <c:v>4</c:v>
                </c:pt>
                <c:pt idx="351">
                  <c:v>2</c:v>
                </c:pt>
                <c:pt idx="352">
                  <c:v>5</c:v>
                </c:pt>
                <c:pt idx="353">
                  <c:v>3</c:v>
                </c:pt>
                <c:pt idx="354">
                  <c:v>4</c:v>
                </c:pt>
                <c:pt idx="355">
                  <c:v>6</c:v>
                </c:pt>
                <c:pt idx="356">
                  <c:v>3</c:v>
                </c:pt>
                <c:pt idx="357">
                  <c:v>2</c:v>
                </c:pt>
                <c:pt idx="358">
                  <c:v>5</c:v>
                </c:pt>
                <c:pt idx="359">
                  <c:v>3</c:v>
                </c:pt>
                <c:pt idx="360">
                  <c:v>3</c:v>
                </c:pt>
                <c:pt idx="361">
                  <c:v>4</c:v>
                </c:pt>
                <c:pt idx="362">
                  <c:v>4</c:v>
                </c:pt>
                <c:pt idx="363">
                  <c:v>3</c:v>
                </c:pt>
                <c:pt idx="364">
                  <c:v>0</c:v>
                </c:pt>
                <c:pt idx="365">
                  <c:v>2</c:v>
                </c:pt>
                <c:pt idx="366">
                  <c:v>5</c:v>
                </c:pt>
                <c:pt idx="367">
                  <c:v>1</c:v>
                </c:pt>
                <c:pt idx="368">
                  <c:v>4</c:v>
                </c:pt>
                <c:pt idx="369">
                  <c:v>2</c:v>
                </c:pt>
                <c:pt idx="370">
                  <c:v>5</c:v>
                </c:pt>
                <c:pt idx="371">
                  <c:v>3</c:v>
                </c:pt>
                <c:pt idx="372">
                  <c:v>4</c:v>
                </c:pt>
                <c:pt idx="373">
                  <c:v>6</c:v>
                </c:pt>
                <c:pt idx="374">
                  <c:v>3</c:v>
                </c:pt>
                <c:pt idx="375">
                  <c:v>2</c:v>
                </c:pt>
                <c:pt idx="376">
                  <c:v>5</c:v>
                </c:pt>
                <c:pt idx="377">
                  <c:v>3</c:v>
                </c:pt>
                <c:pt idx="378">
                  <c:v>4</c:v>
                </c:pt>
                <c:pt idx="379">
                  <c:v>2</c:v>
                </c:pt>
                <c:pt idx="380">
                  <c:v>5</c:v>
                </c:pt>
                <c:pt idx="381">
                  <c:v>3</c:v>
                </c:pt>
                <c:pt idx="382">
                  <c:v>4</c:v>
                </c:pt>
                <c:pt idx="383">
                  <c:v>6</c:v>
                </c:pt>
                <c:pt idx="384">
                  <c:v>3</c:v>
                </c:pt>
                <c:pt idx="385">
                  <c:v>2</c:v>
                </c:pt>
                <c:pt idx="386">
                  <c:v>5</c:v>
                </c:pt>
                <c:pt idx="387">
                  <c:v>3</c:v>
                </c:pt>
                <c:pt idx="388">
                  <c:v>4</c:v>
                </c:pt>
                <c:pt idx="389">
                  <c:v>2</c:v>
                </c:pt>
                <c:pt idx="390">
                  <c:v>5</c:v>
                </c:pt>
                <c:pt idx="391">
                  <c:v>3</c:v>
                </c:pt>
                <c:pt idx="392">
                  <c:v>4</c:v>
                </c:pt>
                <c:pt idx="393">
                  <c:v>6</c:v>
                </c:pt>
                <c:pt idx="394">
                  <c:v>2</c:v>
                </c:pt>
                <c:pt idx="395">
                  <c:v>5</c:v>
                </c:pt>
                <c:pt idx="396">
                  <c:v>3</c:v>
                </c:pt>
                <c:pt idx="397">
                  <c:v>4</c:v>
                </c:pt>
                <c:pt idx="398">
                  <c:v>2</c:v>
                </c:pt>
                <c:pt idx="399">
                  <c:v>5</c:v>
                </c:pt>
                <c:pt idx="400">
                  <c:v>3</c:v>
                </c:pt>
                <c:pt idx="401">
                  <c:v>5</c:v>
                </c:pt>
                <c:pt idx="402">
                  <c:v>0</c:v>
                </c:pt>
                <c:pt idx="403">
                  <c:v>2</c:v>
                </c:pt>
                <c:pt idx="404">
                  <c:v>5</c:v>
                </c:pt>
                <c:pt idx="405">
                  <c:v>3</c:v>
                </c:pt>
                <c:pt idx="406">
                  <c:v>4</c:v>
                </c:pt>
                <c:pt idx="407">
                  <c:v>2</c:v>
                </c:pt>
                <c:pt idx="408">
                  <c:v>5</c:v>
                </c:pt>
                <c:pt idx="409">
                  <c:v>6</c:v>
                </c:pt>
                <c:pt idx="410">
                  <c:v>3</c:v>
                </c:pt>
                <c:pt idx="411">
                  <c:v>4</c:v>
                </c:pt>
                <c:pt idx="412">
                  <c:v>2</c:v>
                </c:pt>
                <c:pt idx="413">
                  <c:v>5</c:v>
                </c:pt>
                <c:pt idx="414">
                  <c:v>1</c:v>
                </c:pt>
                <c:pt idx="415">
                  <c:v>4</c:v>
                </c:pt>
                <c:pt idx="416">
                  <c:v>3</c:v>
                </c:pt>
                <c:pt idx="417">
                  <c:v>4</c:v>
                </c:pt>
                <c:pt idx="418">
                  <c:v>6</c:v>
                </c:pt>
                <c:pt idx="419">
                  <c:v>3</c:v>
                </c:pt>
                <c:pt idx="420">
                  <c:v>2</c:v>
                </c:pt>
                <c:pt idx="421">
                  <c:v>5</c:v>
                </c:pt>
                <c:pt idx="422">
                  <c:v>3</c:v>
                </c:pt>
                <c:pt idx="423">
                  <c:v>4</c:v>
                </c:pt>
                <c:pt idx="424">
                  <c:v>2</c:v>
                </c:pt>
                <c:pt idx="425">
                  <c:v>5</c:v>
                </c:pt>
                <c:pt idx="426">
                  <c:v>3</c:v>
                </c:pt>
                <c:pt idx="427">
                  <c:v>4</c:v>
                </c:pt>
                <c:pt idx="428">
                  <c:v>6</c:v>
                </c:pt>
                <c:pt idx="429">
                  <c:v>3</c:v>
                </c:pt>
                <c:pt idx="430">
                  <c:v>2</c:v>
                </c:pt>
                <c:pt idx="431">
                  <c:v>5</c:v>
                </c:pt>
                <c:pt idx="432">
                  <c:v>3</c:v>
                </c:pt>
                <c:pt idx="433">
                  <c:v>4</c:v>
                </c:pt>
                <c:pt idx="434">
                  <c:v>2</c:v>
                </c:pt>
                <c:pt idx="435">
                  <c:v>5</c:v>
                </c:pt>
                <c:pt idx="436">
                  <c:v>3</c:v>
                </c:pt>
                <c:pt idx="437">
                  <c:v>4</c:v>
                </c:pt>
                <c:pt idx="438">
                  <c:v>6</c:v>
                </c:pt>
                <c:pt idx="439">
                  <c:v>2</c:v>
                </c:pt>
                <c:pt idx="440">
                  <c:v>3</c:v>
                </c:pt>
                <c:pt idx="441">
                  <c:v>4</c:v>
                </c:pt>
                <c:pt idx="442">
                  <c:v>2</c:v>
                </c:pt>
                <c:pt idx="443">
                  <c:v>4</c:v>
                </c:pt>
                <c:pt idx="444">
                  <c:v>3</c:v>
                </c:pt>
                <c:pt idx="445">
                  <c:v>0</c:v>
                </c:pt>
                <c:pt idx="446">
                  <c:v>2</c:v>
                </c:pt>
                <c:pt idx="447">
                  <c:v>5</c:v>
                </c:pt>
                <c:pt idx="448">
                  <c:v>1</c:v>
                </c:pt>
                <c:pt idx="449">
                  <c:v>4</c:v>
                </c:pt>
                <c:pt idx="450">
                  <c:v>2</c:v>
                </c:pt>
                <c:pt idx="451">
                  <c:v>5</c:v>
                </c:pt>
                <c:pt idx="452">
                  <c:v>3</c:v>
                </c:pt>
                <c:pt idx="453">
                  <c:v>4</c:v>
                </c:pt>
                <c:pt idx="454">
                  <c:v>6</c:v>
                </c:pt>
                <c:pt idx="455">
                  <c:v>3</c:v>
                </c:pt>
                <c:pt idx="456">
                  <c:v>2</c:v>
                </c:pt>
                <c:pt idx="457">
                  <c:v>5</c:v>
                </c:pt>
                <c:pt idx="458">
                  <c:v>3</c:v>
                </c:pt>
                <c:pt idx="459">
                  <c:v>4</c:v>
                </c:pt>
                <c:pt idx="460">
                  <c:v>2</c:v>
                </c:pt>
                <c:pt idx="461">
                  <c:v>5</c:v>
                </c:pt>
                <c:pt idx="462">
                  <c:v>3</c:v>
                </c:pt>
                <c:pt idx="463">
                  <c:v>4</c:v>
                </c:pt>
                <c:pt idx="464">
                  <c:v>6</c:v>
                </c:pt>
                <c:pt idx="465">
                  <c:v>3</c:v>
                </c:pt>
                <c:pt idx="466">
                  <c:v>2</c:v>
                </c:pt>
                <c:pt idx="467">
                  <c:v>5</c:v>
                </c:pt>
                <c:pt idx="468">
                  <c:v>3</c:v>
                </c:pt>
                <c:pt idx="469">
                  <c:v>4</c:v>
                </c:pt>
                <c:pt idx="470">
                  <c:v>2</c:v>
                </c:pt>
                <c:pt idx="471">
                  <c:v>5</c:v>
                </c:pt>
                <c:pt idx="472">
                  <c:v>3</c:v>
                </c:pt>
                <c:pt idx="473">
                  <c:v>4</c:v>
                </c:pt>
                <c:pt idx="474">
                  <c:v>6</c:v>
                </c:pt>
                <c:pt idx="475">
                  <c:v>2</c:v>
                </c:pt>
                <c:pt idx="476">
                  <c:v>5</c:v>
                </c:pt>
                <c:pt idx="477">
                  <c:v>3</c:v>
                </c:pt>
                <c:pt idx="478">
                  <c:v>4</c:v>
                </c:pt>
                <c:pt idx="479">
                  <c:v>2</c:v>
                </c:pt>
                <c:pt idx="480">
                  <c:v>5</c:v>
                </c:pt>
                <c:pt idx="481">
                  <c:v>3</c:v>
                </c:pt>
                <c:pt idx="482">
                  <c:v>4</c:v>
                </c:pt>
                <c:pt idx="483">
                  <c:v>6</c:v>
                </c:pt>
                <c:pt idx="484">
                  <c:v>3</c:v>
                </c:pt>
                <c:pt idx="485">
                  <c:v>2</c:v>
                </c:pt>
                <c:pt idx="486">
                  <c:v>5</c:v>
                </c:pt>
                <c:pt idx="487">
                  <c:v>3</c:v>
                </c:pt>
                <c:pt idx="488">
                  <c:v>3</c:v>
                </c:pt>
                <c:pt idx="489">
                  <c:v>5</c:v>
                </c:pt>
                <c:pt idx="490">
                  <c:v>0</c:v>
                </c:pt>
                <c:pt idx="491">
                  <c:v>2</c:v>
                </c:pt>
                <c:pt idx="492">
                  <c:v>5</c:v>
                </c:pt>
                <c:pt idx="493">
                  <c:v>3</c:v>
                </c:pt>
                <c:pt idx="494">
                  <c:v>4</c:v>
                </c:pt>
                <c:pt idx="495">
                  <c:v>2</c:v>
                </c:pt>
                <c:pt idx="496">
                  <c:v>5</c:v>
                </c:pt>
                <c:pt idx="497">
                  <c:v>6</c:v>
                </c:pt>
                <c:pt idx="498">
                  <c:v>3</c:v>
                </c:pt>
                <c:pt idx="499">
                  <c:v>4</c:v>
                </c:pt>
              </c:numCache>
            </c:numRef>
          </c:xVal>
          <c:yVal>
            <c:numRef>
              <c:f>'Clean Data'!$N$4:$N$503</c:f>
              <c:numCache>
                <c:formatCode>0.00</c:formatCode>
                <c:ptCount val="500"/>
                <c:pt idx="0">
                  <c:v>76.666666666666671</c:v>
                </c:pt>
                <c:pt idx="1">
                  <c:v>87.666666666666671</c:v>
                </c:pt>
                <c:pt idx="2">
                  <c:v>60</c:v>
                </c:pt>
                <c:pt idx="3">
                  <c:v>82</c:v>
                </c:pt>
                <c:pt idx="4">
                  <c:v>92</c:v>
                </c:pt>
                <c:pt idx="5">
                  <c:v>49.333333333333336</c:v>
                </c:pt>
                <c:pt idx="6">
                  <c:v>84.333333333333329</c:v>
                </c:pt>
                <c:pt idx="7">
                  <c:v>87</c:v>
                </c:pt>
                <c:pt idx="8">
                  <c:v>80</c:v>
                </c:pt>
                <c:pt idx="9">
                  <c:v>87</c:v>
                </c:pt>
                <c:pt idx="10">
                  <c:v>64.333333333333329</c:v>
                </c:pt>
                <c:pt idx="11">
                  <c:v>84</c:v>
                </c:pt>
                <c:pt idx="12">
                  <c:v>77</c:v>
                </c:pt>
                <c:pt idx="13">
                  <c:v>88.333333333333329</c:v>
                </c:pt>
                <c:pt idx="14">
                  <c:v>41.666666666666664</c:v>
                </c:pt>
                <c:pt idx="15">
                  <c:v>82</c:v>
                </c:pt>
                <c:pt idx="16">
                  <c:v>91.333333333333329</c:v>
                </c:pt>
                <c:pt idx="17">
                  <c:v>72.333333333333329</c:v>
                </c:pt>
                <c:pt idx="18">
                  <c:v>65</c:v>
                </c:pt>
                <c:pt idx="19">
                  <c:v>87.666666666666671</c:v>
                </c:pt>
                <c:pt idx="20">
                  <c:v>75</c:v>
                </c:pt>
                <c:pt idx="21">
                  <c:v>82.333333333333329</c:v>
                </c:pt>
                <c:pt idx="22">
                  <c:v>51</c:v>
                </c:pt>
                <c:pt idx="23">
                  <c:v>89.666666666666671</c:v>
                </c:pt>
                <c:pt idx="24">
                  <c:v>72</c:v>
                </c:pt>
                <c:pt idx="25">
                  <c:v>93.666666666666671</c:v>
                </c:pt>
                <c:pt idx="26">
                  <c:v>62.666666666666664</c:v>
                </c:pt>
                <c:pt idx="27">
                  <c:v>84.666666666666671</c:v>
                </c:pt>
                <c:pt idx="28">
                  <c:v>77</c:v>
                </c:pt>
                <c:pt idx="29">
                  <c:v>88.333333333333329</c:v>
                </c:pt>
                <c:pt idx="30">
                  <c:v>60.333333333333336</c:v>
                </c:pt>
                <c:pt idx="31">
                  <c:v>82</c:v>
                </c:pt>
                <c:pt idx="32">
                  <c:v>91</c:v>
                </c:pt>
                <c:pt idx="33">
                  <c:v>74</c:v>
                </c:pt>
                <c:pt idx="34">
                  <c:v>65.666666666666671</c:v>
                </c:pt>
                <c:pt idx="35">
                  <c:v>87.666666666666671</c:v>
                </c:pt>
                <c:pt idx="36">
                  <c:v>75.333333333333329</c:v>
                </c:pt>
                <c:pt idx="37">
                  <c:v>83</c:v>
                </c:pt>
                <c:pt idx="38">
                  <c:v>53</c:v>
                </c:pt>
                <c:pt idx="39">
                  <c:v>90.666666666666671</c:v>
                </c:pt>
                <c:pt idx="40">
                  <c:v>72.333333333333329</c:v>
                </c:pt>
                <c:pt idx="41">
                  <c:v>94.666666666666671</c:v>
                </c:pt>
                <c:pt idx="42">
                  <c:v>63</c:v>
                </c:pt>
                <c:pt idx="43">
                  <c:v>84.333333333333329</c:v>
                </c:pt>
                <c:pt idx="44">
                  <c:v>76.666666666666671</c:v>
                </c:pt>
                <c:pt idx="45">
                  <c:v>88.666666666666671</c:v>
                </c:pt>
                <c:pt idx="46">
                  <c:v>60.666666666666664</c:v>
                </c:pt>
                <c:pt idx="47">
                  <c:v>82.333333333333329</c:v>
                </c:pt>
                <c:pt idx="48">
                  <c:v>92.666666666666671</c:v>
                </c:pt>
                <c:pt idx="49">
                  <c:v>74.333333333333329</c:v>
                </c:pt>
                <c:pt idx="50">
                  <c:v>76.666666666666671</c:v>
                </c:pt>
                <c:pt idx="51">
                  <c:v>82</c:v>
                </c:pt>
                <c:pt idx="52">
                  <c:v>87</c:v>
                </c:pt>
                <c:pt idx="53">
                  <c:v>82.333333333333329</c:v>
                </c:pt>
                <c:pt idx="54">
                  <c:v>64.333333333333329</c:v>
                </c:pt>
                <c:pt idx="55">
                  <c:v>75</c:v>
                </c:pt>
                <c:pt idx="56">
                  <c:v>88.333333333333329</c:v>
                </c:pt>
                <c:pt idx="57">
                  <c:v>82</c:v>
                </c:pt>
                <c:pt idx="58">
                  <c:v>51</c:v>
                </c:pt>
                <c:pt idx="59">
                  <c:v>93.666666666666671</c:v>
                </c:pt>
                <c:pt idx="60">
                  <c:v>72.333333333333329</c:v>
                </c:pt>
                <c:pt idx="61">
                  <c:v>78</c:v>
                </c:pt>
                <c:pt idx="62">
                  <c:v>63.666666666666664</c:v>
                </c:pt>
                <c:pt idx="63">
                  <c:v>74.333333333333329</c:v>
                </c:pt>
                <c:pt idx="64">
                  <c:v>88.333333333333329</c:v>
                </c:pt>
                <c:pt idx="65">
                  <c:v>82</c:v>
                </c:pt>
                <c:pt idx="66">
                  <c:v>49</c:v>
                </c:pt>
                <c:pt idx="67">
                  <c:v>91.333333333333329</c:v>
                </c:pt>
                <c:pt idx="68">
                  <c:v>65.333333333333329</c:v>
                </c:pt>
                <c:pt idx="69">
                  <c:v>87</c:v>
                </c:pt>
                <c:pt idx="70">
                  <c:v>75.333333333333329</c:v>
                </c:pt>
                <c:pt idx="71">
                  <c:v>84</c:v>
                </c:pt>
                <c:pt idx="72">
                  <c:v>60.666666666666664</c:v>
                </c:pt>
                <c:pt idx="73">
                  <c:v>90.666666666666671</c:v>
                </c:pt>
                <c:pt idx="74">
                  <c:v>53</c:v>
                </c:pt>
                <c:pt idx="75">
                  <c:v>94.666666666666671</c:v>
                </c:pt>
                <c:pt idx="76">
                  <c:v>74</c:v>
                </c:pt>
                <c:pt idx="77">
                  <c:v>63</c:v>
                </c:pt>
                <c:pt idx="78">
                  <c:v>83</c:v>
                </c:pt>
                <c:pt idx="79">
                  <c:v>76.666666666666671</c:v>
                </c:pt>
                <c:pt idx="80">
                  <c:v>88.666666666666671</c:v>
                </c:pt>
                <c:pt idx="81">
                  <c:v>60.333333333333336</c:v>
                </c:pt>
                <c:pt idx="82">
                  <c:v>92.666666666666671</c:v>
                </c:pt>
                <c:pt idx="83">
                  <c:v>72.333333333333329</c:v>
                </c:pt>
                <c:pt idx="84">
                  <c:v>82</c:v>
                </c:pt>
                <c:pt idx="85">
                  <c:v>87.666666666666671</c:v>
                </c:pt>
                <c:pt idx="86">
                  <c:v>62.666666666666664</c:v>
                </c:pt>
                <c:pt idx="87">
                  <c:v>84.333333333333329</c:v>
                </c:pt>
                <c:pt idx="88">
                  <c:v>77</c:v>
                </c:pt>
                <c:pt idx="89">
                  <c:v>88.333333333333329</c:v>
                </c:pt>
                <c:pt idx="90">
                  <c:v>60.666666666666664</c:v>
                </c:pt>
                <c:pt idx="91">
                  <c:v>82.333333333333329</c:v>
                </c:pt>
                <c:pt idx="92">
                  <c:v>91</c:v>
                </c:pt>
                <c:pt idx="93">
                  <c:v>74.333333333333329</c:v>
                </c:pt>
                <c:pt idx="94">
                  <c:v>65.666666666666671</c:v>
                </c:pt>
                <c:pt idx="95">
                  <c:v>87.666666666666671</c:v>
                </c:pt>
                <c:pt idx="96">
                  <c:v>75.333333333333329</c:v>
                </c:pt>
                <c:pt idx="97">
                  <c:v>83</c:v>
                </c:pt>
                <c:pt idx="98">
                  <c:v>53</c:v>
                </c:pt>
                <c:pt idx="99">
                  <c:v>90.666666666666671</c:v>
                </c:pt>
                <c:pt idx="100">
                  <c:v>76.666666666666671</c:v>
                </c:pt>
                <c:pt idx="101">
                  <c:v>82</c:v>
                </c:pt>
                <c:pt idx="102">
                  <c:v>87</c:v>
                </c:pt>
                <c:pt idx="103">
                  <c:v>82</c:v>
                </c:pt>
                <c:pt idx="104">
                  <c:v>88.333333333333329</c:v>
                </c:pt>
                <c:pt idx="105">
                  <c:v>75.333333333333329</c:v>
                </c:pt>
                <c:pt idx="106">
                  <c:v>83</c:v>
                </c:pt>
                <c:pt idx="107">
                  <c:v>62.666666666666664</c:v>
                </c:pt>
                <c:pt idx="108">
                  <c:v>89.666666666666671</c:v>
                </c:pt>
                <c:pt idx="109">
                  <c:v>72.333333333333329</c:v>
                </c:pt>
                <c:pt idx="110">
                  <c:v>82</c:v>
                </c:pt>
                <c:pt idx="111">
                  <c:v>91</c:v>
                </c:pt>
                <c:pt idx="112">
                  <c:v>74</c:v>
                </c:pt>
                <c:pt idx="113">
                  <c:v>65.666666666666671</c:v>
                </c:pt>
                <c:pt idx="114">
                  <c:v>87.666666666666671</c:v>
                </c:pt>
                <c:pt idx="115">
                  <c:v>83</c:v>
                </c:pt>
                <c:pt idx="116">
                  <c:v>75.333333333333329</c:v>
                </c:pt>
                <c:pt idx="117">
                  <c:v>88.333333333333329</c:v>
                </c:pt>
                <c:pt idx="118">
                  <c:v>60.666666666666664</c:v>
                </c:pt>
                <c:pt idx="119">
                  <c:v>82.333333333333329</c:v>
                </c:pt>
                <c:pt idx="120">
                  <c:v>92.666666666666671</c:v>
                </c:pt>
                <c:pt idx="121">
                  <c:v>72.333333333333329</c:v>
                </c:pt>
                <c:pt idx="122">
                  <c:v>82</c:v>
                </c:pt>
                <c:pt idx="123">
                  <c:v>87.666666666666671</c:v>
                </c:pt>
                <c:pt idx="124">
                  <c:v>62.666666666666664</c:v>
                </c:pt>
                <c:pt idx="125">
                  <c:v>84.333333333333329</c:v>
                </c:pt>
                <c:pt idx="126">
                  <c:v>77</c:v>
                </c:pt>
                <c:pt idx="127">
                  <c:v>88.333333333333329</c:v>
                </c:pt>
                <c:pt idx="128">
                  <c:v>60.666666666666664</c:v>
                </c:pt>
                <c:pt idx="129">
                  <c:v>82.333333333333329</c:v>
                </c:pt>
                <c:pt idx="130">
                  <c:v>91</c:v>
                </c:pt>
                <c:pt idx="131">
                  <c:v>74.333333333333329</c:v>
                </c:pt>
                <c:pt idx="132">
                  <c:v>87.666666666666671</c:v>
                </c:pt>
                <c:pt idx="133">
                  <c:v>75.333333333333329</c:v>
                </c:pt>
                <c:pt idx="134">
                  <c:v>83</c:v>
                </c:pt>
                <c:pt idx="135">
                  <c:v>62.666666666666664</c:v>
                </c:pt>
                <c:pt idx="136">
                  <c:v>89.666666666666671</c:v>
                </c:pt>
                <c:pt idx="137">
                  <c:v>72.333333333333329</c:v>
                </c:pt>
                <c:pt idx="138">
                  <c:v>82</c:v>
                </c:pt>
                <c:pt idx="139">
                  <c:v>91</c:v>
                </c:pt>
                <c:pt idx="140">
                  <c:v>74</c:v>
                </c:pt>
                <c:pt idx="141">
                  <c:v>65.666666666666671</c:v>
                </c:pt>
                <c:pt idx="142">
                  <c:v>87.666666666666671</c:v>
                </c:pt>
                <c:pt idx="143">
                  <c:v>75.333333333333329</c:v>
                </c:pt>
                <c:pt idx="144">
                  <c:v>83</c:v>
                </c:pt>
                <c:pt idx="145">
                  <c:v>62.666666666666664</c:v>
                </c:pt>
                <c:pt idx="146">
                  <c:v>89.666666666666671</c:v>
                </c:pt>
                <c:pt idx="147">
                  <c:v>72.333333333333329</c:v>
                </c:pt>
                <c:pt idx="148">
                  <c:v>82</c:v>
                </c:pt>
                <c:pt idx="149">
                  <c:v>91</c:v>
                </c:pt>
                <c:pt idx="150">
                  <c:v>74</c:v>
                </c:pt>
                <c:pt idx="151">
                  <c:v>65.666666666666671</c:v>
                </c:pt>
                <c:pt idx="152">
                  <c:v>87.666666666666671</c:v>
                </c:pt>
                <c:pt idx="153">
                  <c:v>82.333333333333329</c:v>
                </c:pt>
                <c:pt idx="154">
                  <c:v>64.333333333333329</c:v>
                </c:pt>
                <c:pt idx="155">
                  <c:v>75</c:v>
                </c:pt>
                <c:pt idx="156">
                  <c:v>88.333333333333329</c:v>
                </c:pt>
                <c:pt idx="157">
                  <c:v>82</c:v>
                </c:pt>
                <c:pt idx="158">
                  <c:v>51</c:v>
                </c:pt>
                <c:pt idx="159">
                  <c:v>93.666666666666671</c:v>
                </c:pt>
                <c:pt idx="160">
                  <c:v>72.333333333333329</c:v>
                </c:pt>
                <c:pt idx="161">
                  <c:v>78</c:v>
                </c:pt>
                <c:pt idx="162">
                  <c:v>63.666666666666664</c:v>
                </c:pt>
                <c:pt idx="163">
                  <c:v>74.333333333333329</c:v>
                </c:pt>
                <c:pt idx="164">
                  <c:v>88.333333333333329</c:v>
                </c:pt>
                <c:pt idx="165">
                  <c:v>82</c:v>
                </c:pt>
                <c:pt idx="166">
                  <c:v>49</c:v>
                </c:pt>
                <c:pt idx="167">
                  <c:v>91.333333333333329</c:v>
                </c:pt>
                <c:pt idx="168">
                  <c:v>65.333333333333329</c:v>
                </c:pt>
                <c:pt idx="169">
                  <c:v>87</c:v>
                </c:pt>
                <c:pt idx="170">
                  <c:v>75.333333333333329</c:v>
                </c:pt>
                <c:pt idx="171">
                  <c:v>84</c:v>
                </c:pt>
                <c:pt idx="172">
                  <c:v>60.666666666666664</c:v>
                </c:pt>
                <c:pt idx="173">
                  <c:v>90.666666666666671</c:v>
                </c:pt>
                <c:pt idx="174">
                  <c:v>53</c:v>
                </c:pt>
                <c:pt idx="175">
                  <c:v>94.666666666666671</c:v>
                </c:pt>
                <c:pt idx="176">
                  <c:v>74</c:v>
                </c:pt>
                <c:pt idx="177">
                  <c:v>63</c:v>
                </c:pt>
                <c:pt idx="178">
                  <c:v>83</c:v>
                </c:pt>
                <c:pt idx="179">
                  <c:v>76.666666666666671</c:v>
                </c:pt>
                <c:pt idx="180">
                  <c:v>88.666666666666671</c:v>
                </c:pt>
                <c:pt idx="181">
                  <c:v>60.333333333333336</c:v>
                </c:pt>
                <c:pt idx="182">
                  <c:v>92.666666666666671</c:v>
                </c:pt>
                <c:pt idx="183">
                  <c:v>72.333333333333329</c:v>
                </c:pt>
                <c:pt idx="184">
                  <c:v>82</c:v>
                </c:pt>
                <c:pt idx="185">
                  <c:v>87.666666666666671</c:v>
                </c:pt>
                <c:pt idx="186">
                  <c:v>62.666666666666664</c:v>
                </c:pt>
                <c:pt idx="187">
                  <c:v>84.333333333333329</c:v>
                </c:pt>
                <c:pt idx="188">
                  <c:v>77</c:v>
                </c:pt>
                <c:pt idx="189">
                  <c:v>88.333333333333329</c:v>
                </c:pt>
                <c:pt idx="190">
                  <c:v>60.666666666666664</c:v>
                </c:pt>
                <c:pt idx="191">
                  <c:v>82.333333333333329</c:v>
                </c:pt>
                <c:pt idx="192">
                  <c:v>91</c:v>
                </c:pt>
                <c:pt idx="193">
                  <c:v>74.333333333333329</c:v>
                </c:pt>
                <c:pt idx="194">
                  <c:v>65.666666666666671</c:v>
                </c:pt>
                <c:pt idx="195">
                  <c:v>87.666666666666671</c:v>
                </c:pt>
                <c:pt idx="196">
                  <c:v>75.333333333333329</c:v>
                </c:pt>
                <c:pt idx="197">
                  <c:v>83</c:v>
                </c:pt>
                <c:pt idx="198">
                  <c:v>53</c:v>
                </c:pt>
                <c:pt idx="199">
                  <c:v>90.666666666666671</c:v>
                </c:pt>
                <c:pt idx="200">
                  <c:v>76.666666666666671</c:v>
                </c:pt>
                <c:pt idx="201">
                  <c:v>82</c:v>
                </c:pt>
                <c:pt idx="202">
                  <c:v>87</c:v>
                </c:pt>
                <c:pt idx="203">
                  <c:v>82</c:v>
                </c:pt>
                <c:pt idx="204">
                  <c:v>88.333333333333329</c:v>
                </c:pt>
                <c:pt idx="205">
                  <c:v>75.333333333333329</c:v>
                </c:pt>
                <c:pt idx="206">
                  <c:v>83</c:v>
                </c:pt>
                <c:pt idx="207">
                  <c:v>62.666666666666664</c:v>
                </c:pt>
                <c:pt idx="208">
                  <c:v>89.666666666666671</c:v>
                </c:pt>
                <c:pt idx="209">
                  <c:v>72.333333333333329</c:v>
                </c:pt>
                <c:pt idx="210">
                  <c:v>82</c:v>
                </c:pt>
                <c:pt idx="211">
                  <c:v>91</c:v>
                </c:pt>
                <c:pt idx="212">
                  <c:v>74</c:v>
                </c:pt>
                <c:pt idx="213">
                  <c:v>65.666666666666671</c:v>
                </c:pt>
                <c:pt idx="214">
                  <c:v>87.666666666666671</c:v>
                </c:pt>
                <c:pt idx="215">
                  <c:v>83</c:v>
                </c:pt>
                <c:pt idx="216">
                  <c:v>75.333333333333329</c:v>
                </c:pt>
                <c:pt idx="217">
                  <c:v>88.333333333333329</c:v>
                </c:pt>
                <c:pt idx="218">
                  <c:v>60.666666666666664</c:v>
                </c:pt>
                <c:pt idx="219">
                  <c:v>82.333333333333329</c:v>
                </c:pt>
                <c:pt idx="220">
                  <c:v>92.666666666666671</c:v>
                </c:pt>
                <c:pt idx="221">
                  <c:v>72.333333333333329</c:v>
                </c:pt>
                <c:pt idx="222">
                  <c:v>82</c:v>
                </c:pt>
                <c:pt idx="223">
                  <c:v>87.666666666666671</c:v>
                </c:pt>
                <c:pt idx="224">
                  <c:v>62.666666666666664</c:v>
                </c:pt>
                <c:pt idx="225">
                  <c:v>84.333333333333329</c:v>
                </c:pt>
                <c:pt idx="226">
                  <c:v>77</c:v>
                </c:pt>
                <c:pt idx="227">
                  <c:v>88.333333333333329</c:v>
                </c:pt>
                <c:pt idx="228">
                  <c:v>60.666666666666664</c:v>
                </c:pt>
                <c:pt idx="229">
                  <c:v>82.333333333333329</c:v>
                </c:pt>
                <c:pt idx="230">
                  <c:v>91</c:v>
                </c:pt>
                <c:pt idx="231">
                  <c:v>74.333333333333329</c:v>
                </c:pt>
                <c:pt idx="232">
                  <c:v>87.666666666666671</c:v>
                </c:pt>
                <c:pt idx="233">
                  <c:v>75.333333333333329</c:v>
                </c:pt>
                <c:pt idx="234">
                  <c:v>83</c:v>
                </c:pt>
                <c:pt idx="235">
                  <c:v>62.666666666666664</c:v>
                </c:pt>
                <c:pt idx="236">
                  <c:v>89.666666666666671</c:v>
                </c:pt>
                <c:pt idx="237">
                  <c:v>72.333333333333329</c:v>
                </c:pt>
                <c:pt idx="238">
                  <c:v>82</c:v>
                </c:pt>
                <c:pt idx="239">
                  <c:v>91</c:v>
                </c:pt>
                <c:pt idx="240">
                  <c:v>74</c:v>
                </c:pt>
                <c:pt idx="241">
                  <c:v>65.666666666666671</c:v>
                </c:pt>
                <c:pt idx="242">
                  <c:v>87.666666666666671</c:v>
                </c:pt>
                <c:pt idx="243">
                  <c:v>75.333333333333329</c:v>
                </c:pt>
                <c:pt idx="244">
                  <c:v>83</c:v>
                </c:pt>
                <c:pt idx="245">
                  <c:v>62.666666666666664</c:v>
                </c:pt>
                <c:pt idx="246">
                  <c:v>89.666666666666671</c:v>
                </c:pt>
                <c:pt idx="247">
                  <c:v>72.333333333333329</c:v>
                </c:pt>
                <c:pt idx="248">
                  <c:v>82</c:v>
                </c:pt>
                <c:pt idx="249">
                  <c:v>91</c:v>
                </c:pt>
                <c:pt idx="250">
                  <c:v>75.333333333333329</c:v>
                </c:pt>
                <c:pt idx="251">
                  <c:v>87.666666666666671</c:v>
                </c:pt>
                <c:pt idx="252">
                  <c:v>82</c:v>
                </c:pt>
                <c:pt idx="253">
                  <c:v>62.666666666666664</c:v>
                </c:pt>
                <c:pt idx="254">
                  <c:v>89.666666666666671</c:v>
                </c:pt>
                <c:pt idx="255">
                  <c:v>72.333333333333329</c:v>
                </c:pt>
                <c:pt idx="256">
                  <c:v>87.666666666666671</c:v>
                </c:pt>
                <c:pt idx="257">
                  <c:v>82</c:v>
                </c:pt>
                <c:pt idx="258">
                  <c:v>62.666666666666664</c:v>
                </c:pt>
                <c:pt idx="259">
                  <c:v>89.666666666666671</c:v>
                </c:pt>
                <c:pt idx="260">
                  <c:v>83</c:v>
                </c:pt>
                <c:pt idx="261">
                  <c:v>60.666666666666664</c:v>
                </c:pt>
                <c:pt idx="262">
                  <c:v>88.333333333333329</c:v>
                </c:pt>
                <c:pt idx="263">
                  <c:v>91</c:v>
                </c:pt>
                <c:pt idx="264">
                  <c:v>75.333333333333329</c:v>
                </c:pt>
                <c:pt idx="265">
                  <c:v>82</c:v>
                </c:pt>
                <c:pt idx="266">
                  <c:v>62.666666666666664</c:v>
                </c:pt>
                <c:pt idx="267">
                  <c:v>89.666666666666671</c:v>
                </c:pt>
                <c:pt idx="268">
                  <c:v>53</c:v>
                </c:pt>
                <c:pt idx="269">
                  <c:v>83</c:v>
                </c:pt>
                <c:pt idx="270">
                  <c:v>77</c:v>
                </c:pt>
                <c:pt idx="271">
                  <c:v>82</c:v>
                </c:pt>
                <c:pt idx="272">
                  <c:v>91</c:v>
                </c:pt>
                <c:pt idx="273">
                  <c:v>74</c:v>
                </c:pt>
                <c:pt idx="274">
                  <c:v>62.666666666666664</c:v>
                </c:pt>
                <c:pt idx="275">
                  <c:v>87.666666666666671</c:v>
                </c:pt>
                <c:pt idx="276">
                  <c:v>75.333333333333329</c:v>
                </c:pt>
                <c:pt idx="277">
                  <c:v>83</c:v>
                </c:pt>
                <c:pt idx="278">
                  <c:v>60.666666666666664</c:v>
                </c:pt>
                <c:pt idx="279">
                  <c:v>89.666666666666671</c:v>
                </c:pt>
                <c:pt idx="280">
                  <c:v>72.333333333333329</c:v>
                </c:pt>
                <c:pt idx="281">
                  <c:v>82</c:v>
                </c:pt>
                <c:pt idx="282">
                  <c:v>91</c:v>
                </c:pt>
                <c:pt idx="283">
                  <c:v>74</c:v>
                </c:pt>
                <c:pt idx="284">
                  <c:v>62.666666666666664</c:v>
                </c:pt>
                <c:pt idx="285">
                  <c:v>87.666666666666671</c:v>
                </c:pt>
                <c:pt idx="286">
                  <c:v>77</c:v>
                </c:pt>
                <c:pt idx="287">
                  <c:v>83</c:v>
                </c:pt>
                <c:pt idx="288">
                  <c:v>60.666666666666664</c:v>
                </c:pt>
                <c:pt idx="289">
                  <c:v>89.666666666666671</c:v>
                </c:pt>
                <c:pt idx="290">
                  <c:v>72.333333333333329</c:v>
                </c:pt>
                <c:pt idx="291">
                  <c:v>82</c:v>
                </c:pt>
                <c:pt idx="292">
                  <c:v>91</c:v>
                </c:pt>
                <c:pt idx="293">
                  <c:v>62.666666666666664</c:v>
                </c:pt>
                <c:pt idx="294">
                  <c:v>87.666666666666671</c:v>
                </c:pt>
                <c:pt idx="295">
                  <c:v>77</c:v>
                </c:pt>
                <c:pt idx="296">
                  <c:v>83</c:v>
                </c:pt>
                <c:pt idx="297">
                  <c:v>60.666666666666664</c:v>
                </c:pt>
                <c:pt idx="298">
                  <c:v>92.666666666666671</c:v>
                </c:pt>
                <c:pt idx="299">
                  <c:v>72.333333333333329</c:v>
                </c:pt>
                <c:pt idx="300">
                  <c:v>82</c:v>
                </c:pt>
                <c:pt idx="301">
                  <c:v>76.666666666666671</c:v>
                </c:pt>
                <c:pt idx="302">
                  <c:v>82</c:v>
                </c:pt>
                <c:pt idx="303">
                  <c:v>82</c:v>
                </c:pt>
                <c:pt idx="304">
                  <c:v>72.333333333333329</c:v>
                </c:pt>
                <c:pt idx="305">
                  <c:v>82.333333333333329</c:v>
                </c:pt>
                <c:pt idx="306">
                  <c:v>87.666666666666671</c:v>
                </c:pt>
                <c:pt idx="307">
                  <c:v>82</c:v>
                </c:pt>
                <c:pt idx="308">
                  <c:v>62.666666666666664</c:v>
                </c:pt>
                <c:pt idx="309">
                  <c:v>89.666666666666671</c:v>
                </c:pt>
                <c:pt idx="310">
                  <c:v>72.333333333333329</c:v>
                </c:pt>
                <c:pt idx="311">
                  <c:v>83</c:v>
                </c:pt>
                <c:pt idx="312">
                  <c:v>60.666666666666664</c:v>
                </c:pt>
                <c:pt idx="313">
                  <c:v>88.333333333333329</c:v>
                </c:pt>
                <c:pt idx="314">
                  <c:v>91</c:v>
                </c:pt>
                <c:pt idx="315">
                  <c:v>75.333333333333329</c:v>
                </c:pt>
                <c:pt idx="316">
                  <c:v>82</c:v>
                </c:pt>
                <c:pt idx="317">
                  <c:v>62.666666666666664</c:v>
                </c:pt>
                <c:pt idx="318">
                  <c:v>89.666666666666671</c:v>
                </c:pt>
                <c:pt idx="319">
                  <c:v>72.333333333333329</c:v>
                </c:pt>
                <c:pt idx="320">
                  <c:v>83</c:v>
                </c:pt>
                <c:pt idx="321">
                  <c:v>53</c:v>
                </c:pt>
                <c:pt idx="322">
                  <c:v>88.333333333333329</c:v>
                </c:pt>
                <c:pt idx="323">
                  <c:v>77</c:v>
                </c:pt>
                <c:pt idx="324">
                  <c:v>82</c:v>
                </c:pt>
                <c:pt idx="325">
                  <c:v>91</c:v>
                </c:pt>
                <c:pt idx="326">
                  <c:v>74</c:v>
                </c:pt>
                <c:pt idx="327">
                  <c:v>62.666666666666664</c:v>
                </c:pt>
                <c:pt idx="328">
                  <c:v>87.666666666666671</c:v>
                </c:pt>
                <c:pt idx="329">
                  <c:v>75.333333333333329</c:v>
                </c:pt>
                <c:pt idx="330">
                  <c:v>83</c:v>
                </c:pt>
                <c:pt idx="331">
                  <c:v>60.666666666666664</c:v>
                </c:pt>
                <c:pt idx="332">
                  <c:v>89.666666666666671</c:v>
                </c:pt>
                <c:pt idx="333">
                  <c:v>72.333333333333329</c:v>
                </c:pt>
                <c:pt idx="334">
                  <c:v>82</c:v>
                </c:pt>
                <c:pt idx="335">
                  <c:v>91</c:v>
                </c:pt>
                <c:pt idx="336">
                  <c:v>74</c:v>
                </c:pt>
                <c:pt idx="337">
                  <c:v>62.666666666666664</c:v>
                </c:pt>
                <c:pt idx="338">
                  <c:v>87.666666666666671</c:v>
                </c:pt>
                <c:pt idx="339">
                  <c:v>77</c:v>
                </c:pt>
                <c:pt idx="340">
                  <c:v>83</c:v>
                </c:pt>
                <c:pt idx="341">
                  <c:v>60.666666666666664</c:v>
                </c:pt>
                <c:pt idx="342">
                  <c:v>89.666666666666671</c:v>
                </c:pt>
                <c:pt idx="343">
                  <c:v>72.333333333333329</c:v>
                </c:pt>
                <c:pt idx="344">
                  <c:v>82</c:v>
                </c:pt>
                <c:pt idx="345">
                  <c:v>91</c:v>
                </c:pt>
                <c:pt idx="346">
                  <c:v>74</c:v>
                </c:pt>
                <c:pt idx="347">
                  <c:v>62.666666666666664</c:v>
                </c:pt>
                <c:pt idx="348">
                  <c:v>87.666666666666671</c:v>
                </c:pt>
                <c:pt idx="349">
                  <c:v>77</c:v>
                </c:pt>
                <c:pt idx="350">
                  <c:v>83</c:v>
                </c:pt>
                <c:pt idx="351">
                  <c:v>60.666666666666664</c:v>
                </c:pt>
                <c:pt idx="352">
                  <c:v>89.666666666666671</c:v>
                </c:pt>
                <c:pt idx="353">
                  <c:v>72.333333333333329</c:v>
                </c:pt>
                <c:pt idx="354">
                  <c:v>82</c:v>
                </c:pt>
                <c:pt idx="355">
                  <c:v>91</c:v>
                </c:pt>
                <c:pt idx="356">
                  <c:v>74</c:v>
                </c:pt>
                <c:pt idx="357">
                  <c:v>62.666666666666664</c:v>
                </c:pt>
                <c:pt idx="358">
                  <c:v>87.666666666666671</c:v>
                </c:pt>
                <c:pt idx="359">
                  <c:v>77</c:v>
                </c:pt>
                <c:pt idx="360">
                  <c:v>72.333333333333329</c:v>
                </c:pt>
                <c:pt idx="361">
                  <c:v>82</c:v>
                </c:pt>
                <c:pt idx="362">
                  <c:v>82</c:v>
                </c:pt>
                <c:pt idx="363">
                  <c:v>76.666666666666671</c:v>
                </c:pt>
                <c:pt idx="364">
                  <c:v>82</c:v>
                </c:pt>
                <c:pt idx="365">
                  <c:v>62.666666666666664</c:v>
                </c:pt>
                <c:pt idx="366">
                  <c:v>89.666666666666671</c:v>
                </c:pt>
                <c:pt idx="367">
                  <c:v>53</c:v>
                </c:pt>
                <c:pt idx="368">
                  <c:v>83</c:v>
                </c:pt>
                <c:pt idx="369">
                  <c:v>60.666666666666664</c:v>
                </c:pt>
                <c:pt idx="370">
                  <c:v>89.666666666666671</c:v>
                </c:pt>
                <c:pt idx="371">
                  <c:v>72.333333333333329</c:v>
                </c:pt>
                <c:pt idx="372">
                  <c:v>82</c:v>
                </c:pt>
                <c:pt idx="373">
                  <c:v>91</c:v>
                </c:pt>
                <c:pt idx="374">
                  <c:v>74</c:v>
                </c:pt>
                <c:pt idx="375">
                  <c:v>62.666666666666664</c:v>
                </c:pt>
                <c:pt idx="376">
                  <c:v>87.666666666666671</c:v>
                </c:pt>
                <c:pt idx="377">
                  <c:v>77</c:v>
                </c:pt>
                <c:pt idx="378">
                  <c:v>83</c:v>
                </c:pt>
                <c:pt idx="379">
                  <c:v>60.666666666666664</c:v>
                </c:pt>
                <c:pt idx="380">
                  <c:v>89.666666666666671</c:v>
                </c:pt>
                <c:pt idx="381">
                  <c:v>72.333333333333329</c:v>
                </c:pt>
                <c:pt idx="382">
                  <c:v>82</c:v>
                </c:pt>
                <c:pt idx="383">
                  <c:v>91</c:v>
                </c:pt>
                <c:pt idx="384">
                  <c:v>74</c:v>
                </c:pt>
                <c:pt idx="385">
                  <c:v>62.666666666666664</c:v>
                </c:pt>
                <c:pt idx="386">
                  <c:v>87.666666666666671</c:v>
                </c:pt>
                <c:pt idx="387">
                  <c:v>77</c:v>
                </c:pt>
                <c:pt idx="388">
                  <c:v>83</c:v>
                </c:pt>
                <c:pt idx="389">
                  <c:v>60.666666666666664</c:v>
                </c:pt>
                <c:pt idx="390">
                  <c:v>89.666666666666671</c:v>
                </c:pt>
                <c:pt idx="391">
                  <c:v>72.333333333333329</c:v>
                </c:pt>
                <c:pt idx="392">
                  <c:v>82</c:v>
                </c:pt>
                <c:pt idx="393">
                  <c:v>91</c:v>
                </c:pt>
                <c:pt idx="394">
                  <c:v>62.666666666666664</c:v>
                </c:pt>
                <c:pt idx="395">
                  <c:v>87.666666666666671</c:v>
                </c:pt>
                <c:pt idx="396">
                  <c:v>77</c:v>
                </c:pt>
                <c:pt idx="397">
                  <c:v>83</c:v>
                </c:pt>
                <c:pt idx="398">
                  <c:v>60.666666666666664</c:v>
                </c:pt>
                <c:pt idx="399">
                  <c:v>89.666666666666671</c:v>
                </c:pt>
                <c:pt idx="400">
                  <c:v>75.333333333333329</c:v>
                </c:pt>
                <c:pt idx="401">
                  <c:v>87.666666666666671</c:v>
                </c:pt>
                <c:pt idx="402">
                  <c:v>82</c:v>
                </c:pt>
                <c:pt idx="403">
                  <c:v>62.666666666666664</c:v>
                </c:pt>
                <c:pt idx="404">
                  <c:v>89.666666666666671</c:v>
                </c:pt>
                <c:pt idx="405">
                  <c:v>72.333333333333329</c:v>
                </c:pt>
                <c:pt idx="406">
                  <c:v>83</c:v>
                </c:pt>
                <c:pt idx="407">
                  <c:v>60.666666666666664</c:v>
                </c:pt>
                <c:pt idx="408">
                  <c:v>88.333333333333329</c:v>
                </c:pt>
                <c:pt idx="409">
                  <c:v>91</c:v>
                </c:pt>
                <c:pt idx="410">
                  <c:v>75.333333333333329</c:v>
                </c:pt>
                <c:pt idx="411">
                  <c:v>82</c:v>
                </c:pt>
                <c:pt idx="412">
                  <c:v>62.666666666666664</c:v>
                </c:pt>
                <c:pt idx="413">
                  <c:v>89.666666666666671</c:v>
                </c:pt>
                <c:pt idx="414">
                  <c:v>53</c:v>
                </c:pt>
                <c:pt idx="415">
                  <c:v>83</c:v>
                </c:pt>
                <c:pt idx="416">
                  <c:v>77</c:v>
                </c:pt>
                <c:pt idx="417">
                  <c:v>82</c:v>
                </c:pt>
                <c:pt idx="418">
                  <c:v>91</c:v>
                </c:pt>
                <c:pt idx="419">
                  <c:v>74</c:v>
                </c:pt>
                <c:pt idx="420">
                  <c:v>62.666666666666664</c:v>
                </c:pt>
                <c:pt idx="421">
                  <c:v>87.666666666666671</c:v>
                </c:pt>
                <c:pt idx="422">
                  <c:v>75.333333333333329</c:v>
                </c:pt>
                <c:pt idx="423">
                  <c:v>83</c:v>
                </c:pt>
                <c:pt idx="424">
                  <c:v>60.666666666666664</c:v>
                </c:pt>
                <c:pt idx="425">
                  <c:v>89.666666666666671</c:v>
                </c:pt>
                <c:pt idx="426">
                  <c:v>72.333333333333329</c:v>
                </c:pt>
                <c:pt idx="427">
                  <c:v>82</c:v>
                </c:pt>
                <c:pt idx="428">
                  <c:v>91</c:v>
                </c:pt>
                <c:pt idx="429">
                  <c:v>74</c:v>
                </c:pt>
                <c:pt idx="430">
                  <c:v>62.666666666666664</c:v>
                </c:pt>
                <c:pt idx="431">
                  <c:v>87.666666666666671</c:v>
                </c:pt>
                <c:pt idx="432">
                  <c:v>77</c:v>
                </c:pt>
                <c:pt idx="433">
                  <c:v>83</c:v>
                </c:pt>
                <c:pt idx="434">
                  <c:v>60.666666666666664</c:v>
                </c:pt>
                <c:pt idx="435">
                  <c:v>89.666666666666671</c:v>
                </c:pt>
                <c:pt idx="436">
                  <c:v>72.333333333333329</c:v>
                </c:pt>
                <c:pt idx="437">
                  <c:v>82</c:v>
                </c:pt>
                <c:pt idx="438">
                  <c:v>91</c:v>
                </c:pt>
                <c:pt idx="439">
                  <c:v>62.666666666666664</c:v>
                </c:pt>
                <c:pt idx="440">
                  <c:v>72.333333333333329</c:v>
                </c:pt>
                <c:pt idx="441">
                  <c:v>82</c:v>
                </c:pt>
                <c:pt idx="442">
                  <c:v>62.666666666666664</c:v>
                </c:pt>
                <c:pt idx="443">
                  <c:v>82</c:v>
                </c:pt>
                <c:pt idx="444">
                  <c:v>76.666666666666671</c:v>
                </c:pt>
                <c:pt idx="445">
                  <c:v>82</c:v>
                </c:pt>
                <c:pt idx="446">
                  <c:v>62.666666666666664</c:v>
                </c:pt>
                <c:pt idx="447">
                  <c:v>89.666666666666671</c:v>
                </c:pt>
                <c:pt idx="448">
                  <c:v>53</c:v>
                </c:pt>
                <c:pt idx="449">
                  <c:v>83</c:v>
                </c:pt>
                <c:pt idx="450">
                  <c:v>60.666666666666664</c:v>
                </c:pt>
                <c:pt idx="451">
                  <c:v>89.666666666666671</c:v>
                </c:pt>
                <c:pt idx="452">
                  <c:v>72.333333333333329</c:v>
                </c:pt>
                <c:pt idx="453">
                  <c:v>82</c:v>
                </c:pt>
                <c:pt idx="454">
                  <c:v>91</c:v>
                </c:pt>
                <c:pt idx="455">
                  <c:v>74</c:v>
                </c:pt>
                <c:pt idx="456">
                  <c:v>62.666666666666664</c:v>
                </c:pt>
                <c:pt idx="457">
                  <c:v>87.666666666666671</c:v>
                </c:pt>
                <c:pt idx="458">
                  <c:v>77</c:v>
                </c:pt>
                <c:pt idx="459">
                  <c:v>83</c:v>
                </c:pt>
                <c:pt idx="460">
                  <c:v>60.666666666666664</c:v>
                </c:pt>
                <c:pt idx="461">
                  <c:v>89.666666666666671</c:v>
                </c:pt>
                <c:pt idx="462">
                  <c:v>72.333333333333329</c:v>
                </c:pt>
                <c:pt idx="463">
                  <c:v>82</c:v>
                </c:pt>
                <c:pt idx="464">
                  <c:v>91</c:v>
                </c:pt>
                <c:pt idx="465">
                  <c:v>74</c:v>
                </c:pt>
                <c:pt idx="466">
                  <c:v>62.666666666666664</c:v>
                </c:pt>
                <c:pt idx="467">
                  <c:v>87.666666666666671</c:v>
                </c:pt>
                <c:pt idx="468">
                  <c:v>77</c:v>
                </c:pt>
                <c:pt idx="469">
                  <c:v>83</c:v>
                </c:pt>
                <c:pt idx="470">
                  <c:v>60.666666666666664</c:v>
                </c:pt>
                <c:pt idx="471">
                  <c:v>89.666666666666671</c:v>
                </c:pt>
                <c:pt idx="472">
                  <c:v>72.333333333333329</c:v>
                </c:pt>
                <c:pt idx="473">
                  <c:v>82</c:v>
                </c:pt>
                <c:pt idx="474">
                  <c:v>91</c:v>
                </c:pt>
                <c:pt idx="475">
                  <c:v>62.666666666666664</c:v>
                </c:pt>
                <c:pt idx="476">
                  <c:v>87.666666666666671</c:v>
                </c:pt>
                <c:pt idx="477">
                  <c:v>77</c:v>
                </c:pt>
                <c:pt idx="478">
                  <c:v>83</c:v>
                </c:pt>
                <c:pt idx="479">
                  <c:v>60.666666666666664</c:v>
                </c:pt>
                <c:pt idx="480">
                  <c:v>89.666666666666671</c:v>
                </c:pt>
                <c:pt idx="481">
                  <c:v>72.333333333333329</c:v>
                </c:pt>
                <c:pt idx="482">
                  <c:v>82</c:v>
                </c:pt>
                <c:pt idx="483">
                  <c:v>91</c:v>
                </c:pt>
                <c:pt idx="484">
                  <c:v>74</c:v>
                </c:pt>
                <c:pt idx="485">
                  <c:v>62.666666666666664</c:v>
                </c:pt>
                <c:pt idx="486">
                  <c:v>87.666666666666671</c:v>
                </c:pt>
                <c:pt idx="487">
                  <c:v>77</c:v>
                </c:pt>
                <c:pt idx="488">
                  <c:v>75.333333333333329</c:v>
                </c:pt>
                <c:pt idx="489">
                  <c:v>87.666666666666671</c:v>
                </c:pt>
                <c:pt idx="490">
                  <c:v>82</c:v>
                </c:pt>
                <c:pt idx="491">
                  <c:v>62.666666666666664</c:v>
                </c:pt>
                <c:pt idx="492">
                  <c:v>89.666666666666671</c:v>
                </c:pt>
                <c:pt idx="493">
                  <c:v>72.333333333333329</c:v>
                </c:pt>
                <c:pt idx="494">
                  <c:v>83</c:v>
                </c:pt>
                <c:pt idx="495">
                  <c:v>60.666666666666664</c:v>
                </c:pt>
                <c:pt idx="496">
                  <c:v>88.333333333333329</c:v>
                </c:pt>
                <c:pt idx="497">
                  <c:v>91</c:v>
                </c:pt>
                <c:pt idx="498">
                  <c:v>75.333333333333329</c:v>
                </c:pt>
                <c:pt idx="499">
                  <c:v>82</c:v>
                </c:pt>
              </c:numCache>
            </c:numRef>
          </c:yVal>
          <c:smooth val="0"/>
          <c:extLst>
            <c:ext xmlns:c16="http://schemas.microsoft.com/office/drawing/2014/chart" uri="{C3380CC4-5D6E-409C-BE32-E72D297353CC}">
              <c16:uniqueId val="{00000000-D160-48B7-B6FF-7A247D372720}"/>
            </c:ext>
          </c:extLst>
        </c:ser>
        <c:dLbls>
          <c:showLegendKey val="0"/>
          <c:showVal val="0"/>
          <c:showCatName val="0"/>
          <c:showSerName val="0"/>
          <c:showPercent val="0"/>
          <c:showBubbleSize val="0"/>
        </c:dLbls>
        <c:axId val="1774779472"/>
        <c:axId val="1768951264"/>
      </c:scatterChart>
      <c:valAx>
        <c:axId val="1774779472"/>
        <c:scaling>
          <c:orientation val="minMax"/>
        </c:scaling>
        <c:delete val="0"/>
        <c:axPos val="b"/>
        <c:majorGridlines>
          <c:spPr>
            <a:ln w="9525" cap="flat" cmpd="sng" algn="ctr">
              <a:solidFill>
                <a:srgbClr val="F0F2F6"/>
              </a:solidFill>
              <a:round/>
            </a:ln>
            <a:effectLst/>
          </c:spPr>
        </c:majorGridlines>
        <c:minorGridlines>
          <c:spPr>
            <a:ln w="9525" cap="flat" cmpd="sng" algn="ctr">
              <a:solidFill>
                <a:srgbClr val="F0F2F6"/>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crossAx val="1768951264"/>
        <c:crosses val="autoZero"/>
        <c:crossBetween val="midCat"/>
      </c:valAx>
      <c:valAx>
        <c:axId val="1768951264"/>
        <c:scaling>
          <c:orientation val="minMax"/>
        </c:scaling>
        <c:delete val="0"/>
        <c:axPos val="l"/>
        <c:majorGridlines>
          <c:spPr>
            <a:ln w="9525" cap="flat" cmpd="sng" algn="ctr">
              <a:solidFill>
                <a:srgbClr val="F0F2F6"/>
              </a:solidFill>
              <a:round/>
            </a:ln>
            <a:effectLst/>
          </c:spPr>
        </c:majorGridlines>
        <c:minorGridlines>
          <c:spPr>
            <a:ln w="9525" cap="flat" cmpd="sng" algn="ctr">
              <a:solidFill>
                <a:srgbClr val="F0F2F6">
                  <a:alpha val="2000"/>
                </a:srgb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4040"/>
                </a:solidFill>
                <a:latin typeface="+mn-lt"/>
                <a:ea typeface="+mn-ea"/>
                <a:cs typeface="+mn-cs"/>
              </a:defRPr>
            </a:pPr>
            <a:endParaRPr lang="en-US"/>
          </a:p>
        </c:txPr>
        <c:crossAx val="1774779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3"/>
      </a:solidFill>
      <a:prstDash val="solid"/>
      <a:miter lim="800000"/>
    </a:ln>
    <a:effectLst/>
  </c:spPr>
  <c:txPr>
    <a:bodyPr/>
    <a:lstStyle/>
    <a:p>
      <a:pPr>
        <a:defRPr>
          <a:solidFill>
            <a:srgbClr val="404040"/>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^0 Study Behavior Analytics.xlsx]Pivot Analysis!PivotTable5</c:name>
    <c:fmtId val="12"/>
  </c:pivotSource>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US" sz="1000"/>
              <a:t>Performance Distribution byGender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Analysis'!$G$11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56-4C10-996E-344FDC025F2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56-4C10-996E-344FDC025F2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E56-4C10-996E-344FDC025F25}"/>
              </c:ext>
            </c:extLst>
          </c:dPt>
          <c:dLbls>
            <c:delete val="1"/>
          </c:dLbls>
          <c:cat>
            <c:strRef>
              <c:f>'Pivot Analysis'!$F$12:$F$15</c:f>
              <c:strCache>
                <c:ptCount val="3"/>
                <c:pt idx="0">
                  <c:v>Excellent</c:v>
                </c:pt>
                <c:pt idx="1">
                  <c:v>Good</c:v>
                </c:pt>
                <c:pt idx="2">
                  <c:v>Needs Improvement</c:v>
                </c:pt>
              </c:strCache>
            </c:strRef>
          </c:cat>
          <c:val>
            <c:numRef>
              <c:f>'Pivot Analysis'!$G$12:$G$15</c:f>
              <c:numCache>
                <c:formatCode>General</c:formatCode>
                <c:ptCount val="3"/>
                <c:pt idx="0">
                  <c:v>266</c:v>
                </c:pt>
                <c:pt idx="1">
                  <c:v>217</c:v>
                </c:pt>
                <c:pt idx="2">
                  <c:v>17</c:v>
                </c:pt>
              </c:numCache>
            </c:numRef>
          </c:val>
          <c:extLst>
            <c:ext xmlns:c16="http://schemas.microsoft.com/office/drawing/2014/chart" uri="{C3380CC4-5D6E-409C-BE32-E72D297353CC}">
              <c16:uniqueId val="{00000000-3E46-4C38-8C03-39A0D730D88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^0 Study Behavior Analytics.xlsx]Pivot Analysis!PivotTable1</c:name>
    <c:fmtId val="12"/>
  </c:pivotSource>
  <c:chart>
    <c:title>
      <c:tx>
        <c:rich>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r>
              <a:rPr lang="en-IN"/>
              <a:t>Average Score by Gender</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Analysis'!$C$2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Analysis'!$B$3:$B$5</c:f>
              <c:strCache>
                <c:ptCount val="2"/>
                <c:pt idx="0">
                  <c:v>Female</c:v>
                </c:pt>
                <c:pt idx="1">
                  <c:v>Male</c:v>
                </c:pt>
              </c:strCache>
            </c:strRef>
          </c:cat>
          <c:val>
            <c:numRef>
              <c:f>'Pivot Analysis'!$C$3:$C$5</c:f>
              <c:numCache>
                <c:formatCode>0.00</c:formatCode>
                <c:ptCount val="2"/>
                <c:pt idx="0">
                  <c:v>83.228997289972924</c:v>
                </c:pt>
                <c:pt idx="1">
                  <c:v>72.763779527559052</c:v>
                </c:pt>
              </c:numCache>
            </c:numRef>
          </c:val>
          <c:extLst>
            <c:ext xmlns:c16="http://schemas.microsoft.com/office/drawing/2014/chart" uri="{C3380CC4-5D6E-409C-BE32-E72D297353CC}">
              <c16:uniqueId val="{00000000-7C77-4AA1-ABDE-344902996B7C}"/>
            </c:ext>
          </c:extLst>
        </c:ser>
        <c:dLbls>
          <c:dLblPos val="inEnd"/>
          <c:showLegendKey val="0"/>
          <c:showVal val="1"/>
          <c:showCatName val="0"/>
          <c:showSerName val="0"/>
          <c:showPercent val="0"/>
          <c:showBubbleSize val="0"/>
        </c:dLbls>
        <c:gapWidth val="41"/>
        <c:axId val="1304587920"/>
        <c:axId val="1773932224"/>
      </c:barChart>
      <c:catAx>
        <c:axId val="130458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crossAx val="1773932224"/>
        <c:crosses val="autoZero"/>
        <c:auto val="1"/>
        <c:lblAlgn val="ctr"/>
        <c:lblOffset val="100"/>
        <c:noMultiLvlLbl val="0"/>
      </c:catAx>
      <c:valAx>
        <c:axId val="1773932224"/>
        <c:scaling>
          <c:orientation val="minMax"/>
        </c:scaling>
        <c:delete val="1"/>
        <c:axPos val="b"/>
        <c:numFmt formatCode="0.00" sourceLinked="1"/>
        <c:majorTickMark val="none"/>
        <c:minorTickMark val="none"/>
        <c:tickLblPos val="nextTo"/>
        <c:crossAx val="130458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tileRect/>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^0 Study Behavior Analytics.xlsx]Pivot Analysis!PivotTable2</c:name>
    <c:fmtId val="31"/>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Average Score by Attendance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Analysis'!$C$11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Analysis'!$B$12:$B$15</c:f>
              <c:strCache>
                <c:ptCount val="3"/>
                <c:pt idx="0">
                  <c:v>High</c:v>
                </c:pt>
                <c:pt idx="1">
                  <c:v>Medium</c:v>
                </c:pt>
                <c:pt idx="2">
                  <c:v>Low</c:v>
                </c:pt>
              </c:strCache>
            </c:strRef>
          </c:cat>
          <c:val>
            <c:numRef>
              <c:f>'Pivot Analysis'!$C$12:$C$15</c:f>
              <c:numCache>
                <c:formatCode>0.00</c:formatCode>
                <c:ptCount val="3"/>
                <c:pt idx="0">
                  <c:v>84.515337423312985</c:v>
                </c:pt>
                <c:pt idx="1">
                  <c:v>65.558766859344871</c:v>
                </c:pt>
                <c:pt idx="2">
                  <c:v>62.666666666666664</c:v>
                </c:pt>
              </c:numCache>
            </c:numRef>
          </c:val>
          <c:extLst>
            <c:ext xmlns:c16="http://schemas.microsoft.com/office/drawing/2014/chart" uri="{C3380CC4-5D6E-409C-BE32-E72D297353CC}">
              <c16:uniqueId val="{00000000-0212-4614-B7D3-D737B9793C7C}"/>
            </c:ext>
          </c:extLst>
        </c:ser>
        <c:dLbls>
          <c:dLblPos val="inEnd"/>
          <c:showLegendKey val="0"/>
          <c:showVal val="1"/>
          <c:showCatName val="0"/>
          <c:showSerName val="0"/>
          <c:showPercent val="0"/>
          <c:showBubbleSize val="0"/>
        </c:dLbls>
        <c:gapWidth val="150"/>
        <c:overlap val="100"/>
        <c:axId val="1614950176"/>
        <c:axId val="1773953920"/>
      </c:barChart>
      <c:catAx>
        <c:axId val="1614950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773953920"/>
        <c:crosses val="autoZero"/>
        <c:auto val="1"/>
        <c:lblAlgn val="ctr"/>
        <c:lblOffset val="100"/>
        <c:noMultiLvlLbl val="0"/>
      </c:catAx>
      <c:valAx>
        <c:axId val="1773953920"/>
        <c:scaling>
          <c:orientation val="minMax"/>
        </c:scaling>
        <c:delete val="1"/>
        <c:axPos val="l"/>
        <c:numFmt formatCode="0.00" sourceLinked="1"/>
        <c:majorTickMark val="out"/>
        <c:minorTickMark val="none"/>
        <c:tickLblPos val="nextTo"/>
        <c:crossAx val="1614950176"/>
        <c:crosses val="autoZero"/>
        <c:crossBetween val="between"/>
      </c:valAx>
      <c:spPr>
        <a:noFill/>
        <a:ln>
          <a:noFill/>
        </a:ln>
        <a:effectLst/>
      </c:spPr>
    </c:plotArea>
    <c:legend>
      <c:legendPos val="b"/>
      <c:layout>
        <c:manualLayout>
          <c:xMode val="edge"/>
          <c:yMode val="edge"/>
          <c:x val="0.45543328958880142"/>
          <c:y val="0.81851228033581891"/>
          <c:w val="9.5158901504410906E-2"/>
          <c:h val="0.117196936656092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tileRect/>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^0 Study Behavior Analytics.xlsx]Pivot Analysis!PivotTable5</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Performance Category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Analysis'!$G$11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Analysis'!$F$12:$F$15</c:f>
              <c:strCache>
                <c:ptCount val="3"/>
                <c:pt idx="0">
                  <c:v>Excellent</c:v>
                </c:pt>
                <c:pt idx="1">
                  <c:v>Good</c:v>
                </c:pt>
                <c:pt idx="2">
                  <c:v>Needs Improvement</c:v>
                </c:pt>
              </c:strCache>
            </c:strRef>
          </c:cat>
          <c:val>
            <c:numRef>
              <c:f>'Pivot Analysis'!$G$12:$G$15</c:f>
              <c:numCache>
                <c:formatCode>General</c:formatCode>
                <c:ptCount val="3"/>
                <c:pt idx="0">
                  <c:v>266</c:v>
                </c:pt>
                <c:pt idx="1">
                  <c:v>217</c:v>
                </c:pt>
                <c:pt idx="2">
                  <c:v>17</c:v>
                </c:pt>
              </c:numCache>
            </c:numRef>
          </c:val>
          <c:extLst>
            <c:ext xmlns:c16="http://schemas.microsoft.com/office/drawing/2014/chart" uri="{C3380CC4-5D6E-409C-BE32-E72D297353CC}">
              <c16:uniqueId val="{00000000-18B2-48A1-A06F-FE8EA905B148}"/>
            </c:ext>
          </c:extLst>
        </c:ser>
        <c:dLbls>
          <c:dLblPos val="ctr"/>
          <c:showLegendKey val="0"/>
          <c:showVal val="1"/>
          <c:showCatName val="0"/>
          <c:showSerName val="0"/>
          <c:showPercent val="0"/>
          <c:showBubbleSize val="0"/>
        </c:dLbls>
        <c:gapWidth val="150"/>
        <c:overlap val="100"/>
        <c:axId val="1768939120"/>
        <c:axId val="1779033936"/>
      </c:barChart>
      <c:catAx>
        <c:axId val="17689391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9033936"/>
        <c:crosses val="autoZero"/>
        <c:auto val="1"/>
        <c:lblAlgn val="ctr"/>
        <c:lblOffset val="100"/>
        <c:noMultiLvlLbl val="0"/>
      </c:catAx>
      <c:valAx>
        <c:axId val="17790339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7689391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'Clean Data'!$N$3</c:f>
              <c:strCache>
                <c:ptCount val="1"/>
                <c:pt idx="0">
                  <c:v>Average_Score</c:v>
                </c:pt>
              </c:strCache>
            </c:strRef>
          </c:tx>
          <c:spPr>
            <a:ln w="25400" cap="flat" cmpd="dbl" algn="ctr">
              <a:solidFill>
                <a:schemeClr val="accent1">
                  <a:alpha val="50000"/>
                </a:schemeClr>
              </a:solidFill>
              <a:round/>
            </a:ln>
            <a:effectLst/>
          </c:spPr>
          <c:marker>
            <c:symbol val="none"/>
          </c:marker>
          <c:xVal>
            <c:numRef>
              <c:f>'Clean Data'!$E$4:$E$503</c:f>
              <c:numCache>
                <c:formatCode>General</c:formatCode>
                <c:ptCount val="500"/>
                <c:pt idx="0">
                  <c:v>3</c:v>
                </c:pt>
                <c:pt idx="1">
                  <c:v>5</c:v>
                </c:pt>
                <c:pt idx="2">
                  <c:v>0</c:v>
                </c:pt>
                <c:pt idx="3">
                  <c:v>4</c:v>
                </c:pt>
                <c:pt idx="4">
                  <c:v>6</c:v>
                </c:pt>
                <c:pt idx="5">
                  <c:v>3</c:v>
                </c:pt>
                <c:pt idx="6">
                  <c:v>1</c:v>
                </c:pt>
                <c:pt idx="7">
                  <c:v>5</c:v>
                </c:pt>
                <c:pt idx="8">
                  <c:v>4</c:v>
                </c:pt>
                <c:pt idx="9">
                  <c:v>6</c:v>
                </c:pt>
                <c:pt idx="10">
                  <c:v>2</c:v>
                </c:pt>
                <c:pt idx="11">
                  <c:v>4</c:v>
                </c:pt>
                <c:pt idx="12">
                  <c:v>3</c:v>
                </c:pt>
                <c:pt idx="13">
                  <c:v>5</c:v>
                </c:pt>
                <c:pt idx="14">
                  <c:v>2</c:v>
                </c:pt>
                <c:pt idx="15">
                  <c:v>4</c:v>
                </c:pt>
                <c:pt idx="16">
                  <c:v>6</c:v>
                </c:pt>
                <c:pt idx="17">
                  <c:v>3</c:v>
                </c:pt>
                <c:pt idx="18">
                  <c:v>2</c:v>
                </c:pt>
                <c:pt idx="19">
                  <c:v>5</c:v>
                </c:pt>
                <c:pt idx="20">
                  <c:v>3</c:v>
                </c:pt>
                <c:pt idx="21">
                  <c:v>4</c:v>
                </c:pt>
                <c:pt idx="22">
                  <c:v>1</c:v>
                </c:pt>
                <c:pt idx="23">
                  <c:v>5</c:v>
                </c:pt>
                <c:pt idx="24">
                  <c:v>3</c:v>
                </c:pt>
                <c:pt idx="25">
                  <c:v>6</c:v>
                </c:pt>
                <c:pt idx="26">
                  <c:v>2</c:v>
                </c:pt>
                <c:pt idx="27">
                  <c:v>4</c:v>
                </c:pt>
                <c:pt idx="28">
                  <c:v>3</c:v>
                </c:pt>
                <c:pt idx="29">
                  <c:v>5</c:v>
                </c:pt>
                <c:pt idx="30">
                  <c:v>2</c:v>
                </c:pt>
                <c:pt idx="31">
                  <c:v>4</c:v>
                </c:pt>
                <c:pt idx="32">
                  <c:v>6</c:v>
                </c:pt>
                <c:pt idx="33">
                  <c:v>3</c:v>
                </c:pt>
                <c:pt idx="34">
                  <c:v>2</c:v>
                </c:pt>
                <c:pt idx="35">
                  <c:v>5</c:v>
                </c:pt>
                <c:pt idx="36">
                  <c:v>3</c:v>
                </c:pt>
                <c:pt idx="37">
                  <c:v>4</c:v>
                </c:pt>
                <c:pt idx="38">
                  <c:v>1</c:v>
                </c:pt>
                <c:pt idx="39">
                  <c:v>5</c:v>
                </c:pt>
                <c:pt idx="40">
                  <c:v>3</c:v>
                </c:pt>
                <c:pt idx="41">
                  <c:v>6</c:v>
                </c:pt>
                <c:pt idx="42">
                  <c:v>2</c:v>
                </c:pt>
                <c:pt idx="43">
                  <c:v>4</c:v>
                </c:pt>
                <c:pt idx="44">
                  <c:v>3</c:v>
                </c:pt>
                <c:pt idx="45">
                  <c:v>5</c:v>
                </c:pt>
                <c:pt idx="46">
                  <c:v>2</c:v>
                </c:pt>
                <c:pt idx="47">
                  <c:v>4</c:v>
                </c:pt>
                <c:pt idx="48">
                  <c:v>6</c:v>
                </c:pt>
                <c:pt idx="49">
                  <c:v>3</c:v>
                </c:pt>
                <c:pt idx="50">
                  <c:v>3</c:v>
                </c:pt>
                <c:pt idx="51">
                  <c:v>4</c:v>
                </c:pt>
                <c:pt idx="52">
                  <c:v>5</c:v>
                </c:pt>
                <c:pt idx="53">
                  <c:v>4</c:v>
                </c:pt>
                <c:pt idx="54">
                  <c:v>2</c:v>
                </c:pt>
                <c:pt idx="55">
                  <c:v>3</c:v>
                </c:pt>
                <c:pt idx="56">
                  <c:v>5</c:v>
                </c:pt>
                <c:pt idx="57">
                  <c:v>4</c:v>
                </c:pt>
                <c:pt idx="58">
                  <c:v>1</c:v>
                </c:pt>
                <c:pt idx="59">
                  <c:v>6</c:v>
                </c:pt>
                <c:pt idx="60">
                  <c:v>3</c:v>
                </c:pt>
                <c:pt idx="61">
                  <c:v>0</c:v>
                </c:pt>
                <c:pt idx="62">
                  <c:v>2</c:v>
                </c:pt>
                <c:pt idx="63">
                  <c:v>3</c:v>
                </c:pt>
                <c:pt idx="64">
                  <c:v>5</c:v>
                </c:pt>
                <c:pt idx="65">
                  <c:v>4</c:v>
                </c:pt>
                <c:pt idx="66">
                  <c:v>3</c:v>
                </c:pt>
                <c:pt idx="67">
                  <c:v>6</c:v>
                </c:pt>
                <c:pt idx="68">
                  <c:v>2</c:v>
                </c:pt>
                <c:pt idx="69">
                  <c:v>5</c:v>
                </c:pt>
                <c:pt idx="70">
                  <c:v>3</c:v>
                </c:pt>
                <c:pt idx="71">
                  <c:v>4</c:v>
                </c:pt>
                <c:pt idx="72">
                  <c:v>2</c:v>
                </c:pt>
                <c:pt idx="73">
                  <c:v>5</c:v>
                </c:pt>
                <c:pt idx="74">
                  <c:v>1</c:v>
                </c:pt>
                <c:pt idx="75">
                  <c:v>6</c:v>
                </c:pt>
                <c:pt idx="76">
                  <c:v>3</c:v>
                </c:pt>
                <c:pt idx="77">
                  <c:v>2</c:v>
                </c:pt>
                <c:pt idx="78">
                  <c:v>4</c:v>
                </c:pt>
                <c:pt idx="79">
                  <c:v>3</c:v>
                </c:pt>
                <c:pt idx="80">
                  <c:v>5</c:v>
                </c:pt>
                <c:pt idx="81">
                  <c:v>2</c:v>
                </c:pt>
                <c:pt idx="82">
                  <c:v>6</c:v>
                </c:pt>
                <c:pt idx="83">
                  <c:v>3</c:v>
                </c:pt>
                <c:pt idx="84">
                  <c:v>4</c:v>
                </c:pt>
                <c:pt idx="85">
                  <c:v>5</c:v>
                </c:pt>
                <c:pt idx="86">
                  <c:v>2</c:v>
                </c:pt>
                <c:pt idx="87">
                  <c:v>4</c:v>
                </c:pt>
                <c:pt idx="88">
                  <c:v>3</c:v>
                </c:pt>
                <c:pt idx="89">
                  <c:v>5</c:v>
                </c:pt>
                <c:pt idx="90">
                  <c:v>2</c:v>
                </c:pt>
                <c:pt idx="91">
                  <c:v>4</c:v>
                </c:pt>
                <c:pt idx="92">
                  <c:v>6</c:v>
                </c:pt>
                <c:pt idx="93">
                  <c:v>3</c:v>
                </c:pt>
                <c:pt idx="94">
                  <c:v>2</c:v>
                </c:pt>
                <c:pt idx="95">
                  <c:v>5</c:v>
                </c:pt>
                <c:pt idx="96">
                  <c:v>3</c:v>
                </c:pt>
                <c:pt idx="97">
                  <c:v>4</c:v>
                </c:pt>
                <c:pt idx="98">
                  <c:v>1</c:v>
                </c:pt>
                <c:pt idx="99">
                  <c:v>5</c:v>
                </c:pt>
                <c:pt idx="100">
                  <c:v>3</c:v>
                </c:pt>
                <c:pt idx="101">
                  <c:v>4</c:v>
                </c:pt>
                <c:pt idx="102">
                  <c:v>5</c:v>
                </c:pt>
                <c:pt idx="103">
                  <c:v>4</c:v>
                </c:pt>
                <c:pt idx="104">
                  <c:v>5</c:v>
                </c:pt>
                <c:pt idx="105">
                  <c:v>3</c:v>
                </c:pt>
                <c:pt idx="106">
                  <c:v>4</c:v>
                </c:pt>
                <c:pt idx="107">
                  <c:v>2</c:v>
                </c:pt>
                <c:pt idx="108">
                  <c:v>5</c:v>
                </c:pt>
                <c:pt idx="109">
                  <c:v>3</c:v>
                </c:pt>
                <c:pt idx="110">
                  <c:v>4</c:v>
                </c:pt>
                <c:pt idx="111">
                  <c:v>6</c:v>
                </c:pt>
                <c:pt idx="112">
                  <c:v>3</c:v>
                </c:pt>
                <c:pt idx="113">
                  <c:v>2</c:v>
                </c:pt>
                <c:pt idx="114">
                  <c:v>5</c:v>
                </c:pt>
                <c:pt idx="115">
                  <c:v>4</c:v>
                </c:pt>
                <c:pt idx="116">
                  <c:v>3</c:v>
                </c:pt>
                <c:pt idx="117">
                  <c:v>5</c:v>
                </c:pt>
                <c:pt idx="118">
                  <c:v>2</c:v>
                </c:pt>
                <c:pt idx="119">
                  <c:v>4</c:v>
                </c:pt>
                <c:pt idx="120">
                  <c:v>6</c:v>
                </c:pt>
                <c:pt idx="121">
                  <c:v>3</c:v>
                </c:pt>
                <c:pt idx="122">
                  <c:v>4</c:v>
                </c:pt>
                <c:pt idx="123">
                  <c:v>5</c:v>
                </c:pt>
                <c:pt idx="124">
                  <c:v>2</c:v>
                </c:pt>
                <c:pt idx="125">
                  <c:v>4</c:v>
                </c:pt>
                <c:pt idx="126">
                  <c:v>3</c:v>
                </c:pt>
                <c:pt idx="127">
                  <c:v>5</c:v>
                </c:pt>
                <c:pt idx="128">
                  <c:v>2</c:v>
                </c:pt>
                <c:pt idx="129">
                  <c:v>4</c:v>
                </c:pt>
                <c:pt idx="130">
                  <c:v>6</c:v>
                </c:pt>
                <c:pt idx="131">
                  <c:v>3</c:v>
                </c:pt>
                <c:pt idx="132">
                  <c:v>5</c:v>
                </c:pt>
                <c:pt idx="133">
                  <c:v>3</c:v>
                </c:pt>
                <c:pt idx="134">
                  <c:v>4</c:v>
                </c:pt>
                <c:pt idx="135">
                  <c:v>2</c:v>
                </c:pt>
                <c:pt idx="136">
                  <c:v>5</c:v>
                </c:pt>
                <c:pt idx="137">
                  <c:v>3</c:v>
                </c:pt>
                <c:pt idx="138">
                  <c:v>4</c:v>
                </c:pt>
                <c:pt idx="139">
                  <c:v>6</c:v>
                </c:pt>
                <c:pt idx="140">
                  <c:v>3</c:v>
                </c:pt>
                <c:pt idx="141">
                  <c:v>2</c:v>
                </c:pt>
                <c:pt idx="142">
                  <c:v>5</c:v>
                </c:pt>
                <c:pt idx="143">
                  <c:v>3</c:v>
                </c:pt>
                <c:pt idx="144">
                  <c:v>4</c:v>
                </c:pt>
                <c:pt idx="145">
                  <c:v>2</c:v>
                </c:pt>
                <c:pt idx="146">
                  <c:v>5</c:v>
                </c:pt>
                <c:pt idx="147">
                  <c:v>3</c:v>
                </c:pt>
                <c:pt idx="148">
                  <c:v>4</c:v>
                </c:pt>
                <c:pt idx="149">
                  <c:v>6</c:v>
                </c:pt>
                <c:pt idx="150">
                  <c:v>3</c:v>
                </c:pt>
                <c:pt idx="151">
                  <c:v>2</c:v>
                </c:pt>
                <c:pt idx="152">
                  <c:v>5</c:v>
                </c:pt>
                <c:pt idx="153">
                  <c:v>4</c:v>
                </c:pt>
                <c:pt idx="154">
                  <c:v>2</c:v>
                </c:pt>
                <c:pt idx="155">
                  <c:v>3</c:v>
                </c:pt>
                <c:pt idx="156">
                  <c:v>5</c:v>
                </c:pt>
                <c:pt idx="157">
                  <c:v>4</c:v>
                </c:pt>
                <c:pt idx="158">
                  <c:v>1</c:v>
                </c:pt>
                <c:pt idx="159">
                  <c:v>6</c:v>
                </c:pt>
                <c:pt idx="160">
                  <c:v>3</c:v>
                </c:pt>
                <c:pt idx="161">
                  <c:v>0</c:v>
                </c:pt>
                <c:pt idx="162">
                  <c:v>2</c:v>
                </c:pt>
                <c:pt idx="163">
                  <c:v>3</c:v>
                </c:pt>
                <c:pt idx="164">
                  <c:v>5</c:v>
                </c:pt>
                <c:pt idx="165">
                  <c:v>4</c:v>
                </c:pt>
                <c:pt idx="166">
                  <c:v>3</c:v>
                </c:pt>
                <c:pt idx="167">
                  <c:v>6</c:v>
                </c:pt>
                <c:pt idx="168">
                  <c:v>2</c:v>
                </c:pt>
                <c:pt idx="169">
                  <c:v>5</c:v>
                </c:pt>
                <c:pt idx="170">
                  <c:v>3</c:v>
                </c:pt>
                <c:pt idx="171">
                  <c:v>4</c:v>
                </c:pt>
                <c:pt idx="172">
                  <c:v>2</c:v>
                </c:pt>
                <c:pt idx="173">
                  <c:v>5</c:v>
                </c:pt>
                <c:pt idx="174">
                  <c:v>1</c:v>
                </c:pt>
                <c:pt idx="175">
                  <c:v>6</c:v>
                </c:pt>
                <c:pt idx="176">
                  <c:v>3</c:v>
                </c:pt>
                <c:pt idx="177">
                  <c:v>2</c:v>
                </c:pt>
                <c:pt idx="178">
                  <c:v>4</c:v>
                </c:pt>
                <c:pt idx="179">
                  <c:v>3</c:v>
                </c:pt>
                <c:pt idx="180">
                  <c:v>5</c:v>
                </c:pt>
                <c:pt idx="181">
                  <c:v>2</c:v>
                </c:pt>
                <c:pt idx="182">
                  <c:v>6</c:v>
                </c:pt>
                <c:pt idx="183">
                  <c:v>3</c:v>
                </c:pt>
                <c:pt idx="184">
                  <c:v>4</c:v>
                </c:pt>
                <c:pt idx="185">
                  <c:v>5</c:v>
                </c:pt>
                <c:pt idx="186">
                  <c:v>2</c:v>
                </c:pt>
                <c:pt idx="187">
                  <c:v>4</c:v>
                </c:pt>
                <c:pt idx="188">
                  <c:v>3</c:v>
                </c:pt>
                <c:pt idx="189">
                  <c:v>5</c:v>
                </c:pt>
                <c:pt idx="190">
                  <c:v>2</c:v>
                </c:pt>
                <c:pt idx="191">
                  <c:v>4</c:v>
                </c:pt>
                <c:pt idx="192">
                  <c:v>6</c:v>
                </c:pt>
                <c:pt idx="193">
                  <c:v>3</c:v>
                </c:pt>
                <c:pt idx="194">
                  <c:v>2</c:v>
                </c:pt>
                <c:pt idx="195">
                  <c:v>5</c:v>
                </c:pt>
                <c:pt idx="196">
                  <c:v>3</c:v>
                </c:pt>
                <c:pt idx="197">
                  <c:v>4</c:v>
                </c:pt>
                <c:pt idx="198">
                  <c:v>1</c:v>
                </c:pt>
                <c:pt idx="199">
                  <c:v>5</c:v>
                </c:pt>
                <c:pt idx="200">
                  <c:v>3</c:v>
                </c:pt>
                <c:pt idx="201">
                  <c:v>4</c:v>
                </c:pt>
                <c:pt idx="202">
                  <c:v>5</c:v>
                </c:pt>
                <c:pt idx="203">
                  <c:v>4</c:v>
                </c:pt>
                <c:pt idx="204">
                  <c:v>5</c:v>
                </c:pt>
                <c:pt idx="205">
                  <c:v>3</c:v>
                </c:pt>
                <c:pt idx="206">
                  <c:v>4</c:v>
                </c:pt>
                <c:pt idx="207">
                  <c:v>2</c:v>
                </c:pt>
                <c:pt idx="208">
                  <c:v>5</c:v>
                </c:pt>
                <c:pt idx="209">
                  <c:v>3</c:v>
                </c:pt>
                <c:pt idx="210">
                  <c:v>4</c:v>
                </c:pt>
                <c:pt idx="211">
                  <c:v>6</c:v>
                </c:pt>
                <c:pt idx="212">
                  <c:v>3</c:v>
                </c:pt>
                <c:pt idx="213">
                  <c:v>2</c:v>
                </c:pt>
                <c:pt idx="214">
                  <c:v>5</c:v>
                </c:pt>
                <c:pt idx="215">
                  <c:v>4</c:v>
                </c:pt>
                <c:pt idx="216">
                  <c:v>3</c:v>
                </c:pt>
                <c:pt idx="217">
                  <c:v>5</c:v>
                </c:pt>
                <c:pt idx="218">
                  <c:v>2</c:v>
                </c:pt>
                <c:pt idx="219">
                  <c:v>4</c:v>
                </c:pt>
                <c:pt idx="220">
                  <c:v>6</c:v>
                </c:pt>
                <c:pt idx="221">
                  <c:v>3</c:v>
                </c:pt>
                <c:pt idx="222">
                  <c:v>4</c:v>
                </c:pt>
                <c:pt idx="223">
                  <c:v>5</c:v>
                </c:pt>
                <c:pt idx="224">
                  <c:v>2</c:v>
                </c:pt>
                <c:pt idx="225">
                  <c:v>4</c:v>
                </c:pt>
                <c:pt idx="226">
                  <c:v>3</c:v>
                </c:pt>
                <c:pt idx="227">
                  <c:v>5</c:v>
                </c:pt>
                <c:pt idx="228">
                  <c:v>2</c:v>
                </c:pt>
                <c:pt idx="229">
                  <c:v>4</c:v>
                </c:pt>
                <c:pt idx="230">
                  <c:v>6</c:v>
                </c:pt>
                <c:pt idx="231">
                  <c:v>3</c:v>
                </c:pt>
                <c:pt idx="232">
                  <c:v>5</c:v>
                </c:pt>
                <c:pt idx="233">
                  <c:v>3</c:v>
                </c:pt>
                <c:pt idx="234">
                  <c:v>4</c:v>
                </c:pt>
                <c:pt idx="235">
                  <c:v>2</c:v>
                </c:pt>
                <c:pt idx="236">
                  <c:v>5</c:v>
                </c:pt>
                <c:pt idx="237">
                  <c:v>3</c:v>
                </c:pt>
                <c:pt idx="238">
                  <c:v>4</c:v>
                </c:pt>
                <c:pt idx="239">
                  <c:v>6</c:v>
                </c:pt>
                <c:pt idx="240">
                  <c:v>3</c:v>
                </c:pt>
                <c:pt idx="241">
                  <c:v>2</c:v>
                </c:pt>
                <c:pt idx="242">
                  <c:v>5</c:v>
                </c:pt>
                <c:pt idx="243">
                  <c:v>3</c:v>
                </c:pt>
                <c:pt idx="244">
                  <c:v>4</c:v>
                </c:pt>
                <c:pt idx="245">
                  <c:v>2</c:v>
                </c:pt>
                <c:pt idx="246">
                  <c:v>5</c:v>
                </c:pt>
                <c:pt idx="247">
                  <c:v>3</c:v>
                </c:pt>
                <c:pt idx="248">
                  <c:v>4</c:v>
                </c:pt>
                <c:pt idx="249">
                  <c:v>6</c:v>
                </c:pt>
                <c:pt idx="250">
                  <c:v>3</c:v>
                </c:pt>
                <c:pt idx="251">
                  <c:v>5</c:v>
                </c:pt>
                <c:pt idx="252">
                  <c:v>0</c:v>
                </c:pt>
                <c:pt idx="253">
                  <c:v>2</c:v>
                </c:pt>
                <c:pt idx="254">
                  <c:v>5</c:v>
                </c:pt>
                <c:pt idx="255">
                  <c:v>3</c:v>
                </c:pt>
                <c:pt idx="256">
                  <c:v>5</c:v>
                </c:pt>
                <c:pt idx="257">
                  <c:v>0</c:v>
                </c:pt>
                <c:pt idx="258">
                  <c:v>2</c:v>
                </c:pt>
                <c:pt idx="259">
                  <c:v>5</c:v>
                </c:pt>
                <c:pt idx="260">
                  <c:v>4</c:v>
                </c:pt>
                <c:pt idx="261">
                  <c:v>2</c:v>
                </c:pt>
                <c:pt idx="262">
                  <c:v>5</c:v>
                </c:pt>
                <c:pt idx="263">
                  <c:v>6</c:v>
                </c:pt>
                <c:pt idx="264">
                  <c:v>3</c:v>
                </c:pt>
                <c:pt idx="265">
                  <c:v>4</c:v>
                </c:pt>
                <c:pt idx="266">
                  <c:v>2</c:v>
                </c:pt>
                <c:pt idx="267">
                  <c:v>5</c:v>
                </c:pt>
                <c:pt idx="268">
                  <c:v>1</c:v>
                </c:pt>
                <c:pt idx="269">
                  <c:v>4</c:v>
                </c:pt>
                <c:pt idx="270">
                  <c:v>3</c:v>
                </c:pt>
                <c:pt idx="271">
                  <c:v>4</c:v>
                </c:pt>
                <c:pt idx="272">
                  <c:v>6</c:v>
                </c:pt>
                <c:pt idx="273">
                  <c:v>3</c:v>
                </c:pt>
                <c:pt idx="274">
                  <c:v>2</c:v>
                </c:pt>
                <c:pt idx="275">
                  <c:v>5</c:v>
                </c:pt>
                <c:pt idx="276">
                  <c:v>3</c:v>
                </c:pt>
                <c:pt idx="277">
                  <c:v>4</c:v>
                </c:pt>
                <c:pt idx="278">
                  <c:v>2</c:v>
                </c:pt>
                <c:pt idx="279">
                  <c:v>5</c:v>
                </c:pt>
                <c:pt idx="280">
                  <c:v>3</c:v>
                </c:pt>
                <c:pt idx="281">
                  <c:v>4</c:v>
                </c:pt>
                <c:pt idx="282">
                  <c:v>6</c:v>
                </c:pt>
                <c:pt idx="283">
                  <c:v>3</c:v>
                </c:pt>
                <c:pt idx="284">
                  <c:v>2</c:v>
                </c:pt>
                <c:pt idx="285">
                  <c:v>5</c:v>
                </c:pt>
                <c:pt idx="286">
                  <c:v>3</c:v>
                </c:pt>
                <c:pt idx="287">
                  <c:v>4</c:v>
                </c:pt>
                <c:pt idx="288">
                  <c:v>2</c:v>
                </c:pt>
                <c:pt idx="289">
                  <c:v>5</c:v>
                </c:pt>
                <c:pt idx="290">
                  <c:v>3</c:v>
                </c:pt>
                <c:pt idx="291">
                  <c:v>4</c:v>
                </c:pt>
                <c:pt idx="292">
                  <c:v>6</c:v>
                </c:pt>
                <c:pt idx="293">
                  <c:v>2</c:v>
                </c:pt>
                <c:pt idx="294">
                  <c:v>5</c:v>
                </c:pt>
                <c:pt idx="295">
                  <c:v>3</c:v>
                </c:pt>
                <c:pt idx="296">
                  <c:v>4</c:v>
                </c:pt>
                <c:pt idx="297">
                  <c:v>2</c:v>
                </c:pt>
                <c:pt idx="298">
                  <c:v>5</c:v>
                </c:pt>
                <c:pt idx="299">
                  <c:v>3</c:v>
                </c:pt>
                <c:pt idx="300">
                  <c:v>4</c:v>
                </c:pt>
                <c:pt idx="301">
                  <c:v>3</c:v>
                </c:pt>
                <c:pt idx="302">
                  <c:v>0</c:v>
                </c:pt>
                <c:pt idx="303">
                  <c:v>4</c:v>
                </c:pt>
                <c:pt idx="304">
                  <c:v>3</c:v>
                </c:pt>
                <c:pt idx="305">
                  <c:v>4</c:v>
                </c:pt>
                <c:pt idx="306">
                  <c:v>5</c:v>
                </c:pt>
                <c:pt idx="307">
                  <c:v>0</c:v>
                </c:pt>
                <c:pt idx="308">
                  <c:v>2</c:v>
                </c:pt>
                <c:pt idx="309">
                  <c:v>5</c:v>
                </c:pt>
                <c:pt idx="310">
                  <c:v>3</c:v>
                </c:pt>
                <c:pt idx="311">
                  <c:v>4</c:v>
                </c:pt>
                <c:pt idx="312">
                  <c:v>2</c:v>
                </c:pt>
                <c:pt idx="313">
                  <c:v>5</c:v>
                </c:pt>
                <c:pt idx="314">
                  <c:v>6</c:v>
                </c:pt>
                <c:pt idx="315">
                  <c:v>3</c:v>
                </c:pt>
                <c:pt idx="316">
                  <c:v>4</c:v>
                </c:pt>
                <c:pt idx="317">
                  <c:v>2</c:v>
                </c:pt>
                <c:pt idx="318">
                  <c:v>5</c:v>
                </c:pt>
                <c:pt idx="319">
                  <c:v>3</c:v>
                </c:pt>
                <c:pt idx="320">
                  <c:v>4</c:v>
                </c:pt>
                <c:pt idx="321">
                  <c:v>1</c:v>
                </c:pt>
                <c:pt idx="322">
                  <c:v>5</c:v>
                </c:pt>
                <c:pt idx="323">
                  <c:v>3</c:v>
                </c:pt>
                <c:pt idx="324">
                  <c:v>4</c:v>
                </c:pt>
                <c:pt idx="325">
                  <c:v>6</c:v>
                </c:pt>
                <c:pt idx="326">
                  <c:v>3</c:v>
                </c:pt>
                <c:pt idx="327">
                  <c:v>2</c:v>
                </c:pt>
                <c:pt idx="328">
                  <c:v>5</c:v>
                </c:pt>
                <c:pt idx="329">
                  <c:v>3</c:v>
                </c:pt>
                <c:pt idx="330">
                  <c:v>4</c:v>
                </c:pt>
                <c:pt idx="331">
                  <c:v>2</c:v>
                </c:pt>
                <c:pt idx="332">
                  <c:v>5</c:v>
                </c:pt>
                <c:pt idx="333">
                  <c:v>3</c:v>
                </c:pt>
                <c:pt idx="334">
                  <c:v>4</c:v>
                </c:pt>
                <c:pt idx="335">
                  <c:v>6</c:v>
                </c:pt>
                <c:pt idx="336">
                  <c:v>3</c:v>
                </c:pt>
                <c:pt idx="337">
                  <c:v>2</c:v>
                </c:pt>
                <c:pt idx="338">
                  <c:v>5</c:v>
                </c:pt>
                <c:pt idx="339">
                  <c:v>3</c:v>
                </c:pt>
                <c:pt idx="340">
                  <c:v>4</c:v>
                </c:pt>
                <c:pt idx="341">
                  <c:v>2</c:v>
                </c:pt>
                <c:pt idx="342">
                  <c:v>5</c:v>
                </c:pt>
                <c:pt idx="343">
                  <c:v>3</c:v>
                </c:pt>
                <c:pt idx="344">
                  <c:v>4</c:v>
                </c:pt>
                <c:pt idx="345">
                  <c:v>6</c:v>
                </c:pt>
                <c:pt idx="346">
                  <c:v>3</c:v>
                </c:pt>
                <c:pt idx="347">
                  <c:v>2</c:v>
                </c:pt>
                <c:pt idx="348">
                  <c:v>5</c:v>
                </c:pt>
                <c:pt idx="349">
                  <c:v>3</c:v>
                </c:pt>
                <c:pt idx="350">
                  <c:v>4</c:v>
                </c:pt>
                <c:pt idx="351">
                  <c:v>2</c:v>
                </c:pt>
                <c:pt idx="352">
                  <c:v>5</c:v>
                </c:pt>
                <c:pt idx="353">
                  <c:v>3</c:v>
                </c:pt>
                <c:pt idx="354">
                  <c:v>4</c:v>
                </c:pt>
                <c:pt idx="355">
                  <c:v>6</c:v>
                </c:pt>
                <c:pt idx="356">
                  <c:v>3</c:v>
                </c:pt>
                <c:pt idx="357">
                  <c:v>2</c:v>
                </c:pt>
                <c:pt idx="358">
                  <c:v>5</c:v>
                </c:pt>
                <c:pt idx="359">
                  <c:v>3</c:v>
                </c:pt>
                <c:pt idx="360">
                  <c:v>3</c:v>
                </c:pt>
                <c:pt idx="361">
                  <c:v>4</c:v>
                </c:pt>
                <c:pt idx="362">
                  <c:v>4</c:v>
                </c:pt>
                <c:pt idx="363">
                  <c:v>3</c:v>
                </c:pt>
                <c:pt idx="364">
                  <c:v>0</c:v>
                </c:pt>
                <c:pt idx="365">
                  <c:v>2</c:v>
                </c:pt>
                <c:pt idx="366">
                  <c:v>5</c:v>
                </c:pt>
                <c:pt idx="367">
                  <c:v>1</c:v>
                </c:pt>
                <c:pt idx="368">
                  <c:v>4</c:v>
                </c:pt>
                <c:pt idx="369">
                  <c:v>2</c:v>
                </c:pt>
                <c:pt idx="370">
                  <c:v>5</c:v>
                </c:pt>
                <c:pt idx="371">
                  <c:v>3</c:v>
                </c:pt>
                <c:pt idx="372">
                  <c:v>4</c:v>
                </c:pt>
                <c:pt idx="373">
                  <c:v>6</c:v>
                </c:pt>
                <c:pt idx="374">
                  <c:v>3</c:v>
                </c:pt>
                <c:pt idx="375">
                  <c:v>2</c:v>
                </c:pt>
                <c:pt idx="376">
                  <c:v>5</c:v>
                </c:pt>
                <c:pt idx="377">
                  <c:v>3</c:v>
                </c:pt>
                <c:pt idx="378">
                  <c:v>4</c:v>
                </c:pt>
                <c:pt idx="379">
                  <c:v>2</c:v>
                </c:pt>
                <c:pt idx="380">
                  <c:v>5</c:v>
                </c:pt>
                <c:pt idx="381">
                  <c:v>3</c:v>
                </c:pt>
                <c:pt idx="382">
                  <c:v>4</c:v>
                </c:pt>
                <c:pt idx="383">
                  <c:v>6</c:v>
                </c:pt>
                <c:pt idx="384">
                  <c:v>3</c:v>
                </c:pt>
                <c:pt idx="385">
                  <c:v>2</c:v>
                </c:pt>
                <c:pt idx="386">
                  <c:v>5</c:v>
                </c:pt>
                <c:pt idx="387">
                  <c:v>3</c:v>
                </c:pt>
                <c:pt idx="388">
                  <c:v>4</c:v>
                </c:pt>
                <c:pt idx="389">
                  <c:v>2</c:v>
                </c:pt>
                <c:pt idx="390">
                  <c:v>5</c:v>
                </c:pt>
                <c:pt idx="391">
                  <c:v>3</c:v>
                </c:pt>
                <c:pt idx="392">
                  <c:v>4</c:v>
                </c:pt>
                <c:pt idx="393">
                  <c:v>6</c:v>
                </c:pt>
                <c:pt idx="394">
                  <c:v>2</c:v>
                </c:pt>
                <c:pt idx="395">
                  <c:v>5</c:v>
                </c:pt>
                <c:pt idx="396">
                  <c:v>3</c:v>
                </c:pt>
                <c:pt idx="397">
                  <c:v>4</c:v>
                </c:pt>
                <c:pt idx="398">
                  <c:v>2</c:v>
                </c:pt>
                <c:pt idx="399">
                  <c:v>5</c:v>
                </c:pt>
                <c:pt idx="400">
                  <c:v>3</c:v>
                </c:pt>
                <c:pt idx="401">
                  <c:v>5</c:v>
                </c:pt>
                <c:pt idx="402">
                  <c:v>0</c:v>
                </c:pt>
                <c:pt idx="403">
                  <c:v>2</c:v>
                </c:pt>
                <c:pt idx="404">
                  <c:v>5</c:v>
                </c:pt>
                <c:pt idx="405">
                  <c:v>3</c:v>
                </c:pt>
                <c:pt idx="406">
                  <c:v>4</c:v>
                </c:pt>
                <c:pt idx="407">
                  <c:v>2</c:v>
                </c:pt>
                <c:pt idx="408">
                  <c:v>5</c:v>
                </c:pt>
                <c:pt idx="409">
                  <c:v>6</c:v>
                </c:pt>
                <c:pt idx="410">
                  <c:v>3</c:v>
                </c:pt>
                <c:pt idx="411">
                  <c:v>4</c:v>
                </c:pt>
                <c:pt idx="412">
                  <c:v>2</c:v>
                </c:pt>
                <c:pt idx="413">
                  <c:v>5</c:v>
                </c:pt>
                <c:pt idx="414">
                  <c:v>1</c:v>
                </c:pt>
                <c:pt idx="415">
                  <c:v>4</c:v>
                </c:pt>
                <c:pt idx="416">
                  <c:v>3</c:v>
                </c:pt>
                <c:pt idx="417">
                  <c:v>4</c:v>
                </c:pt>
                <c:pt idx="418">
                  <c:v>6</c:v>
                </c:pt>
                <c:pt idx="419">
                  <c:v>3</c:v>
                </c:pt>
                <c:pt idx="420">
                  <c:v>2</c:v>
                </c:pt>
                <c:pt idx="421">
                  <c:v>5</c:v>
                </c:pt>
                <c:pt idx="422">
                  <c:v>3</c:v>
                </c:pt>
                <c:pt idx="423">
                  <c:v>4</c:v>
                </c:pt>
                <c:pt idx="424">
                  <c:v>2</c:v>
                </c:pt>
                <c:pt idx="425">
                  <c:v>5</c:v>
                </c:pt>
                <c:pt idx="426">
                  <c:v>3</c:v>
                </c:pt>
                <c:pt idx="427">
                  <c:v>4</c:v>
                </c:pt>
                <c:pt idx="428">
                  <c:v>6</c:v>
                </c:pt>
                <c:pt idx="429">
                  <c:v>3</c:v>
                </c:pt>
                <c:pt idx="430">
                  <c:v>2</c:v>
                </c:pt>
                <c:pt idx="431">
                  <c:v>5</c:v>
                </c:pt>
                <c:pt idx="432">
                  <c:v>3</c:v>
                </c:pt>
                <c:pt idx="433">
                  <c:v>4</c:v>
                </c:pt>
                <c:pt idx="434">
                  <c:v>2</c:v>
                </c:pt>
                <c:pt idx="435">
                  <c:v>5</c:v>
                </c:pt>
                <c:pt idx="436">
                  <c:v>3</c:v>
                </c:pt>
                <c:pt idx="437">
                  <c:v>4</c:v>
                </c:pt>
                <c:pt idx="438">
                  <c:v>6</c:v>
                </c:pt>
                <c:pt idx="439">
                  <c:v>2</c:v>
                </c:pt>
                <c:pt idx="440">
                  <c:v>3</c:v>
                </c:pt>
                <c:pt idx="441">
                  <c:v>4</c:v>
                </c:pt>
                <c:pt idx="442">
                  <c:v>2</c:v>
                </c:pt>
                <c:pt idx="443">
                  <c:v>4</c:v>
                </c:pt>
                <c:pt idx="444">
                  <c:v>3</c:v>
                </c:pt>
                <c:pt idx="445">
                  <c:v>0</c:v>
                </c:pt>
                <c:pt idx="446">
                  <c:v>2</c:v>
                </c:pt>
                <c:pt idx="447">
                  <c:v>5</c:v>
                </c:pt>
                <c:pt idx="448">
                  <c:v>1</c:v>
                </c:pt>
                <c:pt idx="449">
                  <c:v>4</c:v>
                </c:pt>
                <c:pt idx="450">
                  <c:v>2</c:v>
                </c:pt>
                <c:pt idx="451">
                  <c:v>5</c:v>
                </c:pt>
                <c:pt idx="452">
                  <c:v>3</c:v>
                </c:pt>
                <c:pt idx="453">
                  <c:v>4</c:v>
                </c:pt>
                <c:pt idx="454">
                  <c:v>6</c:v>
                </c:pt>
                <c:pt idx="455">
                  <c:v>3</c:v>
                </c:pt>
                <c:pt idx="456">
                  <c:v>2</c:v>
                </c:pt>
                <c:pt idx="457">
                  <c:v>5</c:v>
                </c:pt>
                <c:pt idx="458">
                  <c:v>3</c:v>
                </c:pt>
                <c:pt idx="459">
                  <c:v>4</c:v>
                </c:pt>
                <c:pt idx="460">
                  <c:v>2</c:v>
                </c:pt>
                <c:pt idx="461">
                  <c:v>5</c:v>
                </c:pt>
                <c:pt idx="462">
                  <c:v>3</c:v>
                </c:pt>
                <c:pt idx="463">
                  <c:v>4</c:v>
                </c:pt>
                <c:pt idx="464">
                  <c:v>6</c:v>
                </c:pt>
                <c:pt idx="465">
                  <c:v>3</c:v>
                </c:pt>
                <c:pt idx="466">
                  <c:v>2</c:v>
                </c:pt>
                <c:pt idx="467">
                  <c:v>5</c:v>
                </c:pt>
                <c:pt idx="468">
                  <c:v>3</c:v>
                </c:pt>
                <c:pt idx="469">
                  <c:v>4</c:v>
                </c:pt>
                <c:pt idx="470">
                  <c:v>2</c:v>
                </c:pt>
                <c:pt idx="471">
                  <c:v>5</c:v>
                </c:pt>
                <c:pt idx="472">
                  <c:v>3</c:v>
                </c:pt>
                <c:pt idx="473">
                  <c:v>4</c:v>
                </c:pt>
                <c:pt idx="474">
                  <c:v>6</c:v>
                </c:pt>
                <c:pt idx="475">
                  <c:v>2</c:v>
                </c:pt>
                <c:pt idx="476">
                  <c:v>5</c:v>
                </c:pt>
                <c:pt idx="477">
                  <c:v>3</c:v>
                </c:pt>
                <c:pt idx="478">
                  <c:v>4</c:v>
                </c:pt>
                <c:pt idx="479">
                  <c:v>2</c:v>
                </c:pt>
                <c:pt idx="480">
                  <c:v>5</c:v>
                </c:pt>
                <c:pt idx="481">
                  <c:v>3</c:v>
                </c:pt>
                <c:pt idx="482">
                  <c:v>4</c:v>
                </c:pt>
                <c:pt idx="483">
                  <c:v>6</c:v>
                </c:pt>
                <c:pt idx="484">
                  <c:v>3</c:v>
                </c:pt>
                <c:pt idx="485">
                  <c:v>2</c:v>
                </c:pt>
                <c:pt idx="486">
                  <c:v>5</c:v>
                </c:pt>
                <c:pt idx="487">
                  <c:v>3</c:v>
                </c:pt>
                <c:pt idx="488">
                  <c:v>3</c:v>
                </c:pt>
                <c:pt idx="489">
                  <c:v>5</c:v>
                </c:pt>
                <c:pt idx="490">
                  <c:v>0</c:v>
                </c:pt>
                <c:pt idx="491">
                  <c:v>2</c:v>
                </c:pt>
                <c:pt idx="492">
                  <c:v>5</c:v>
                </c:pt>
                <c:pt idx="493">
                  <c:v>3</c:v>
                </c:pt>
                <c:pt idx="494">
                  <c:v>4</c:v>
                </c:pt>
                <c:pt idx="495">
                  <c:v>2</c:v>
                </c:pt>
                <c:pt idx="496">
                  <c:v>5</c:v>
                </c:pt>
                <c:pt idx="497">
                  <c:v>6</c:v>
                </c:pt>
                <c:pt idx="498">
                  <c:v>3</c:v>
                </c:pt>
                <c:pt idx="499">
                  <c:v>4</c:v>
                </c:pt>
              </c:numCache>
            </c:numRef>
          </c:xVal>
          <c:yVal>
            <c:numRef>
              <c:f>'Clean Data'!$N$4:$N$503</c:f>
              <c:numCache>
                <c:formatCode>0.00</c:formatCode>
                <c:ptCount val="500"/>
                <c:pt idx="0">
                  <c:v>76.666666666666671</c:v>
                </c:pt>
                <c:pt idx="1">
                  <c:v>87.666666666666671</c:v>
                </c:pt>
                <c:pt idx="2">
                  <c:v>60</c:v>
                </c:pt>
                <c:pt idx="3">
                  <c:v>82</c:v>
                </c:pt>
                <c:pt idx="4">
                  <c:v>92</c:v>
                </c:pt>
                <c:pt idx="5">
                  <c:v>49.333333333333336</c:v>
                </c:pt>
                <c:pt idx="6">
                  <c:v>84.333333333333329</c:v>
                </c:pt>
                <c:pt idx="7">
                  <c:v>87</c:v>
                </c:pt>
                <c:pt idx="8">
                  <c:v>80</c:v>
                </c:pt>
                <c:pt idx="9">
                  <c:v>87</c:v>
                </c:pt>
                <c:pt idx="10">
                  <c:v>64.333333333333329</c:v>
                </c:pt>
                <c:pt idx="11">
                  <c:v>84</c:v>
                </c:pt>
                <c:pt idx="12">
                  <c:v>77</c:v>
                </c:pt>
                <c:pt idx="13">
                  <c:v>88.333333333333329</c:v>
                </c:pt>
                <c:pt idx="14">
                  <c:v>41.666666666666664</c:v>
                </c:pt>
                <c:pt idx="15">
                  <c:v>82</c:v>
                </c:pt>
                <c:pt idx="16">
                  <c:v>91.333333333333329</c:v>
                </c:pt>
                <c:pt idx="17">
                  <c:v>72.333333333333329</c:v>
                </c:pt>
                <c:pt idx="18">
                  <c:v>65</c:v>
                </c:pt>
                <c:pt idx="19">
                  <c:v>87.666666666666671</c:v>
                </c:pt>
                <c:pt idx="20">
                  <c:v>75</c:v>
                </c:pt>
                <c:pt idx="21">
                  <c:v>82.333333333333329</c:v>
                </c:pt>
                <c:pt idx="22">
                  <c:v>51</c:v>
                </c:pt>
                <c:pt idx="23">
                  <c:v>89.666666666666671</c:v>
                </c:pt>
                <c:pt idx="24">
                  <c:v>72</c:v>
                </c:pt>
                <c:pt idx="25">
                  <c:v>93.666666666666671</c:v>
                </c:pt>
                <c:pt idx="26">
                  <c:v>62.666666666666664</c:v>
                </c:pt>
                <c:pt idx="27">
                  <c:v>84.666666666666671</c:v>
                </c:pt>
                <c:pt idx="28">
                  <c:v>77</c:v>
                </c:pt>
                <c:pt idx="29">
                  <c:v>88.333333333333329</c:v>
                </c:pt>
                <c:pt idx="30">
                  <c:v>60.333333333333336</c:v>
                </c:pt>
                <c:pt idx="31">
                  <c:v>82</c:v>
                </c:pt>
                <c:pt idx="32">
                  <c:v>91</c:v>
                </c:pt>
                <c:pt idx="33">
                  <c:v>74</c:v>
                </c:pt>
                <c:pt idx="34">
                  <c:v>65.666666666666671</c:v>
                </c:pt>
                <c:pt idx="35">
                  <c:v>87.666666666666671</c:v>
                </c:pt>
                <c:pt idx="36">
                  <c:v>75.333333333333329</c:v>
                </c:pt>
                <c:pt idx="37">
                  <c:v>83</c:v>
                </c:pt>
                <c:pt idx="38">
                  <c:v>53</c:v>
                </c:pt>
                <c:pt idx="39">
                  <c:v>90.666666666666671</c:v>
                </c:pt>
                <c:pt idx="40">
                  <c:v>72.333333333333329</c:v>
                </c:pt>
                <c:pt idx="41">
                  <c:v>94.666666666666671</c:v>
                </c:pt>
                <c:pt idx="42">
                  <c:v>63</c:v>
                </c:pt>
                <c:pt idx="43">
                  <c:v>84.333333333333329</c:v>
                </c:pt>
                <c:pt idx="44">
                  <c:v>76.666666666666671</c:v>
                </c:pt>
                <c:pt idx="45">
                  <c:v>88.666666666666671</c:v>
                </c:pt>
                <c:pt idx="46">
                  <c:v>60.666666666666664</c:v>
                </c:pt>
                <c:pt idx="47">
                  <c:v>82.333333333333329</c:v>
                </c:pt>
                <c:pt idx="48">
                  <c:v>92.666666666666671</c:v>
                </c:pt>
                <c:pt idx="49">
                  <c:v>74.333333333333329</c:v>
                </c:pt>
                <c:pt idx="50">
                  <c:v>76.666666666666671</c:v>
                </c:pt>
                <c:pt idx="51">
                  <c:v>82</c:v>
                </c:pt>
                <c:pt idx="52">
                  <c:v>87</c:v>
                </c:pt>
                <c:pt idx="53">
                  <c:v>82.333333333333329</c:v>
                </c:pt>
                <c:pt idx="54">
                  <c:v>64.333333333333329</c:v>
                </c:pt>
                <c:pt idx="55">
                  <c:v>75</c:v>
                </c:pt>
                <c:pt idx="56">
                  <c:v>88.333333333333329</c:v>
                </c:pt>
                <c:pt idx="57">
                  <c:v>82</c:v>
                </c:pt>
                <c:pt idx="58">
                  <c:v>51</c:v>
                </c:pt>
                <c:pt idx="59">
                  <c:v>93.666666666666671</c:v>
                </c:pt>
                <c:pt idx="60">
                  <c:v>72.333333333333329</c:v>
                </c:pt>
                <c:pt idx="61">
                  <c:v>78</c:v>
                </c:pt>
                <c:pt idx="62">
                  <c:v>63.666666666666664</c:v>
                </c:pt>
                <c:pt idx="63">
                  <c:v>74.333333333333329</c:v>
                </c:pt>
                <c:pt idx="64">
                  <c:v>88.333333333333329</c:v>
                </c:pt>
                <c:pt idx="65">
                  <c:v>82</c:v>
                </c:pt>
                <c:pt idx="66">
                  <c:v>49</c:v>
                </c:pt>
                <c:pt idx="67">
                  <c:v>91.333333333333329</c:v>
                </c:pt>
                <c:pt idx="68">
                  <c:v>65.333333333333329</c:v>
                </c:pt>
                <c:pt idx="69">
                  <c:v>87</c:v>
                </c:pt>
                <c:pt idx="70">
                  <c:v>75.333333333333329</c:v>
                </c:pt>
                <c:pt idx="71">
                  <c:v>84</c:v>
                </c:pt>
                <c:pt idx="72">
                  <c:v>60.666666666666664</c:v>
                </c:pt>
                <c:pt idx="73">
                  <c:v>90.666666666666671</c:v>
                </c:pt>
                <c:pt idx="74">
                  <c:v>53</c:v>
                </c:pt>
                <c:pt idx="75">
                  <c:v>94.666666666666671</c:v>
                </c:pt>
                <c:pt idx="76">
                  <c:v>74</c:v>
                </c:pt>
                <c:pt idx="77">
                  <c:v>63</c:v>
                </c:pt>
                <c:pt idx="78">
                  <c:v>83</c:v>
                </c:pt>
                <c:pt idx="79">
                  <c:v>76.666666666666671</c:v>
                </c:pt>
                <c:pt idx="80">
                  <c:v>88.666666666666671</c:v>
                </c:pt>
                <c:pt idx="81">
                  <c:v>60.333333333333336</c:v>
                </c:pt>
                <c:pt idx="82">
                  <c:v>92.666666666666671</c:v>
                </c:pt>
                <c:pt idx="83">
                  <c:v>72.333333333333329</c:v>
                </c:pt>
                <c:pt idx="84">
                  <c:v>82</c:v>
                </c:pt>
                <c:pt idx="85">
                  <c:v>87.666666666666671</c:v>
                </c:pt>
                <c:pt idx="86">
                  <c:v>62.666666666666664</c:v>
                </c:pt>
                <c:pt idx="87">
                  <c:v>84.333333333333329</c:v>
                </c:pt>
                <c:pt idx="88">
                  <c:v>77</c:v>
                </c:pt>
                <c:pt idx="89">
                  <c:v>88.333333333333329</c:v>
                </c:pt>
                <c:pt idx="90">
                  <c:v>60.666666666666664</c:v>
                </c:pt>
                <c:pt idx="91">
                  <c:v>82.333333333333329</c:v>
                </c:pt>
                <c:pt idx="92">
                  <c:v>91</c:v>
                </c:pt>
                <c:pt idx="93">
                  <c:v>74.333333333333329</c:v>
                </c:pt>
                <c:pt idx="94">
                  <c:v>65.666666666666671</c:v>
                </c:pt>
                <c:pt idx="95">
                  <c:v>87.666666666666671</c:v>
                </c:pt>
                <c:pt idx="96">
                  <c:v>75.333333333333329</c:v>
                </c:pt>
                <c:pt idx="97">
                  <c:v>83</c:v>
                </c:pt>
                <c:pt idx="98">
                  <c:v>53</c:v>
                </c:pt>
                <c:pt idx="99">
                  <c:v>90.666666666666671</c:v>
                </c:pt>
                <c:pt idx="100">
                  <c:v>76.666666666666671</c:v>
                </c:pt>
                <c:pt idx="101">
                  <c:v>82</c:v>
                </c:pt>
                <c:pt idx="102">
                  <c:v>87</c:v>
                </c:pt>
                <c:pt idx="103">
                  <c:v>82</c:v>
                </c:pt>
                <c:pt idx="104">
                  <c:v>88.333333333333329</c:v>
                </c:pt>
                <c:pt idx="105">
                  <c:v>75.333333333333329</c:v>
                </c:pt>
                <c:pt idx="106">
                  <c:v>83</c:v>
                </c:pt>
                <c:pt idx="107">
                  <c:v>62.666666666666664</c:v>
                </c:pt>
                <c:pt idx="108">
                  <c:v>89.666666666666671</c:v>
                </c:pt>
                <c:pt idx="109">
                  <c:v>72.333333333333329</c:v>
                </c:pt>
                <c:pt idx="110">
                  <c:v>82</c:v>
                </c:pt>
                <c:pt idx="111">
                  <c:v>91</c:v>
                </c:pt>
                <c:pt idx="112">
                  <c:v>74</c:v>
                </c:pt>
                <c:pt idx="113">
                  <c:v>65.666666666666671</c:v>
                </c:pt>
                <c:pt idx="114">
                  <c:v>87.666666666666671</c:v>
                </c:pt>
                <c:pt idx="115">
                  <c:v>83</c:v>
                </c:pt>
                <c:pt idx="116">
                  <c:v>75.333333333333329</c:v>
                </c:pt>
                <c:pt idx="117">
                  <c:v>88.333333333333329</c:v>
                </c:pt>
                <c:pt idx="118">
                  <c:v>60.666666666666664</c:v>
                </c:pt>
                <c:pt idx="119">
                  <c:v>82.333333333333329</c:v>
                </c:pt>
                <c:pt idx="120">
                  <c:v>92.666666666666671</c:v>
                </c:pt>
                <c:pt idx="121">
                  <c:v>72.333333333333329</c:v>
                </c:pt>
                <c:pt idx="122">
                  <c:v>82</c:v>
                </c:pt>
                <c:pt idx="123">
                  <c:v>87.666666666666671</c:v>
                </c:pt>
                <c:pt idx="124">
                  <c:v>62.666666666666664</c:v>
                </c:pt>
                <c:pt idx="125">
                  <c:v>84.333333333333329</c:v>
                </c:pt>
                <c:pt idx="126">
                  <c:v>77</c:v>
                </c:pt>
                <c:pt idx="127">
                  <c:v>88.333333333333329</c:v>
                </c:pt>
                <c:pt idx="128">
                  <c:v>60.666666666666664</c:v>
                </c:pt>
                <c:pt idx="129">
                  <c:v>82.333333333333329</c:v>
                </c:pt>
                <c:pt idx="130">
                  <c:v>91</c:v>
                </c:pt>
                <c:pt idx="131">
                  <c:v>74.333333333333329</c:v>
                </c:pt>
                <c:pt idx="132">
                  <c:v>87.666666666666671</c:v>
                </c:pt>
                <c:pt idx="133">
                  <c:v>75.333333333333329</c:v>
                </c:pt>
                <c:pt idx="134">
                  <c:v>83</c:v>
                </c:pt>
                <c:pt idx="135">
                  <c:v>62.666666666666664</c:v>
                </c:pt>
                <c:pt idx="136">
                  <c:v>89.666666666666671</c:v>
                </c:pt>
                <c:pt idx="137">
                  <c:v>72.333333333333329</c:v>
                </c:pt>
                <c:pt idx="138">
                  <c:v>82</c:v>
                </c:pt>
                <c:pt idx="139">
                  <c:v>91</c:v>
                </c:pt>
                <c:pt idx="140">
                  <c:v>74</c:v>
                </c:pt>
                <c:pt idx="141">
                  <c:v>65.666666666666671</c:v>
                </c:pt>
                <c:pt idx="142">
                  <c:v>87.666666666666671</c:v>
                </c:pt>
                <c:pt idx="143">
                  <c:v>75.333333333333329</c:v>
                </c:pt>
                <c:pt idx="144">
                  <c:v>83</c:v>
                </c:pt>
                <c:pt idx="145">
                  <c:v>62.666666666666664</c:v>
                </c:pt>
                <c:pt idx="146">
                  <c:v>89.666666666666671</c:v>
                </c:pt>
                <c:pt idx="147">
                  <c:v>72.333333333333329</c:v>
                </c:pt>
                <c:pt idx="148">
                  <c:v>82</c:v>
                </c:pt>
                <c:pt idx="149">
                  <c:v>91</c:v>
                </c:pt>
                <c:pt idx="150">
                  <c:v>74</c:v>
                </c:pt>
                <c:pt idx="151">
                  <c:v>65.666666666666671</c:v>
                </c:pt>
                <c:pt idx="152">
                  <c:v>87.666666666666671</c:v>
                </c:pt>
                <c:pt idx="153">
                  <c:v>82.333333333333329</c:v>
                </c:pt>
                <c:pt idx="154">
                  <c:v>64.333333333333329</c:v>
                </c:pt>
                <c:pt idx="155">
                  <c:v>75</c:v>
                </c:pt>
                <c:pt idx="156">
                  <c:v>88.333333333333329</c:v>
                </c:pt>
                <c:pt idx="157">
                  <c:v>82</c:v>
                </c:pt>
                <c:pt idx="158">
                  <c:v>51</c:v>
                </c:pt>
                <c:pt idx="159">
                  <c:v>93.666666666666671</c:v>
                </c:pt>
                <c:pt idx="160">
                  <c:v>72.333333333333329</c:v>
                </c:pt>
                <c:pt idx="161">
                  <c:v>78</c:v>
                </c:pt>
                <c:pt idx="162">
                  <c:v>63.666666666666664</c:v>
                </c:pt>
                <c:pt idx="163">
                  <c:v>74.333333333333329</c:v>
                </c:pt>
                <c:pt idx="164">
                  <c:v>88.333333333333329</c:v>
                </c:pt>
                <c:pt idx="165">
                  <c:v>82</c:v>
                </c:pt>
                <c:pt idx="166">
                  <c:v>49</c:v>
                </c:pt>
                <c:pt idx="167">
                  <c:v>91.333333333333329</c:v>
                </c:pt>
                <c:pt idx="168">
                  <c:v>65.333333333333329</c:v>
                </c:pt>
                <c:pt idx="169">
                  <c:v>87</c:v>
                </c:pt>
                <c:pt idx="170">
                  <c:v>75.333333333333329</c:v>
                </c:pt>
                <c:pt idx="171">
                  <c:v>84</c:v>
                </c:pt>
                <c:pt idx="172">
                  <c:v>60.666666666666664</c:v>
                </c:pt>
                <c:pt idx="173">
                  <c:v>90.666666666666671</c:v>
                </c:pt>
                <c:pt idx="174">
                  <c:v>53</c:v>
                </c:pt>
                <c:pt idx="175">
                  <c:v>94.666666666666671</c:v>
                </c:pt>
                <c:pt idx="176">
                  <c:v>74</c:v>
                </c:pt>
                <c:pt idx="177">
                  <c:v>63</c:v>
                </c:pt>
                <c:pt idx="178">
                  <c:v>83</c:v>
                </c:pt>
                <c:pt idx="179">
                  <c:v>76.666666666666671</c:v>
                </c:pt>
                <c:pt idx="180">
                  <c:v>88.666666666666671</c:v>
                </c:pt>
                <c:pt idx="181">
                  <c:v>60.333333333333336</c:v>
                </c:pt>
                <c:pt idx="182">
                  <c:v>92.666666666666671</c:v>
                </c:pt>
                <c:pt idx="183">
                  <c:v>72.333333333333329</c:v>
                </c:pt>
                <c:pt idx="184">
                  <c:v>82</c:v>
                </c:pt>
                <c:pt idx="185">
                  <c:v>87.666666666666671</c:v>
                </c:pt>
                <c:pt idx="186">
                  <c:v>62.666666666666664</c:v>
                </c:pt>
                <c:pt idx="187">
                  <c:v>84.333333333333329</c:v>
                </c:pt>
                <c:pt idx="188">
                  <c:v>77</c:v>
                </c:pt>
                <c:pt idx="189">
                  <c:v>88.333333333333329</c:v>
                </c:pt>
                <c:pt idx="190">
                  <c:v>60.666666666666664</c:v>
                </c:pt>
                <c:pt idx="191">
                  <c:v>82.333333333333329</c:v>
                </c:pt>
                <c:pt idx="192">
                  <c:v>91</c:v>
                </c:pt>
                <c:pt idx="193">
                  <c:v>74.333333333333329</c:v>
                </c:pt>
                <c:pt idx="194">
                  <c:v>65.666666666666671</c:v>
                </c:pt>
                <c:pt idx="195">
                  <c:v>87.666666666666671</c:v>
                </c:pt>
                <c:pt idx="196">
                  <c:v>75.333333333333329</c:v>
                </c:pt>
                <c:pt idx="197">
                  <c:v>83</c:v>
                </c:pt>
                <c:pt idx="198">
                  <c:v>53</c:v>
                </c:pt>
                <c:pt idx="199">
                  <c:v>90.666666666666671</c:v>
                </c:pt>
                <c:pt idx="200">
                  <c:v>76.666666666666671</c:v>
                </c:pt>
                <c:pt idx="201">
                  <c:v>82</c:v>
                </c:pt>
                <c:pt idx="202">
                  <c:v>87</c:v>
                </c:pt>
                <c:pt idx="203">
                  <c:v>82</c:v>
                </c:pt>
                <c:pt idx="204">
                  <c:v>88.333333333333329</c:v>
                </c:pt>
                <c:pt idx="205">
                  <c:v>75.333333333333329</c:v>
                </c:pt>
                <c:pt idx="206">
                  <c:v>83</c:v>
                </c:pt>
                <c:pt idx="207">
                  <c:v>62.666666666666664</c:v>
                </c:pt>
                <c:pt idx="208">
                  <c:v>89.666666666666671</c:v>
                </c:pt>
                <c:pt idx="209">
                  <c:v>72.333333333333329</c:v>
                </c:pt>
                <c:pt idx="210">
                  <c:v>82</c:v>
                </c:pt>
                <c:pt idx="211">
                  <c:v>91</c:v>
                </c:pt>
                <c:pt idx="212">
                  <c:v>74</c:v>
                </c:pt>
                <c:pt idx="213">
                  <c:v>65.666666666666671</c:v>
                </c:pt>
                <c:pt idx="214">
                  <c:v>87.666666666666671</c:v>
                </c:pt>
                <c:pt idx="215">
                  <c:v>83</c:v>
                </c:pt>
                <c:pt idx="216">
                  <c:v>75.333333333333329</c:v>
                </c:pt>
                <c:pt idx="217">
                  <c:v>88.333333333333329</c:v>
                </c:pt>
                <c:pt idx="218">
                  <c:v>60.666666666666664</c:v>
                </c:pt>
                <c:pt idx="219">
                  <c:v>82.333333333333329</c:v>
                </c:pt>
                <c:pt idx="220">
                  <c:v>92.666666666666671</c:v>
                </c:pt>
                <c:pt idx="221">
                  <c:v>72.333333333333329</c:v>
                </c:pt>
                <c:pt idx="222">
                  <c:v>82</c:v>
                </c:pt>
                <c:pt idx="223">
                  <c:v>87.666666666666671</c:v>
                </c:pt>
                <c:pt idx="224">
                  <c:v>62.666666666666664</c:v>
                </c:pt>
                <c:pt idx="225">
                  <c:v>84.333333333333329</c:v>
                </c:pt>
                <c:pt idx="226">
                  <c:v>77</c:v>
                </c:pt>
                <c:pt idx="227">
                  <c:v>88.333333333333329</c:v>
                </c:pt>
                <c:pt idx="228">
                  <c:v>60.666666666666664</c:v>
                </c:pt>
                <c:pt idx="229">
                  <c:v>82.333333333333329</c:v>
                </c:pt>
                <c:pt idx="230">
                  <c:v>91</c:v>
                </c:pt>
                <c:pt idx="231">
                  <c:v>74.333333333333329</c:v>
                </c:pt>
                <c:pt idx="232">
                  <c:v>87.666666666666671</c:v>
                </c:pt>
                <c:pt idx="233">
                  <c:v>75.333333333333329</c:v>
                </c:pt>
                <c:pt idx="234">
                  <c:v>83</c:v>
                </c:pt>
                <c:pt idx="235">
                  <c:v>62.666666666666664</c:v>
                </c:pt>
                <c:pt idx="236">
                  <c:v>89.666666666666671</c:v>
                </c:pt>
                <c:pt idx="237">
                  <c:v>72.333333333333329</c:v>
                </c:pt>
                <c:pt idx="238">
                  <c:v>82</c:v>
                </c:pt>
                <c:pt idx="239">
                  <c:v>91</c:v>
                </c:pt>
                <c:pt idx="240">
                  <c:v>74</c:v>
                </c:pt>
                <c:pt idx="241">
                  <c:v>65.666666666666671</c:v>
                </c:pt>
                <c:pt idx="242">
                  <c:v>87.666666666666671</c:v>
                </c:pt>
                <c:pt idx="243">
                  <c:v>75.333333333333329</c:v>
                </c:pt>
                <c:pt idx="244">
                  <c:v>83</c:v>
                </c:pt>
                <c:pt idx="245">
                  <c:v>62.666666666666664</c:v>
                </c:pt>
                <c:pt idx="246">
                  <c:v>89.666666666666671</c:v>
                </c:pt>
                <c:pt idx="247">
                  <c:v>72.333333333333329</c:v>
                </c:pt>
                <c:pt idx="248">
                  <c:v>82</c:v>
                </c:pt>
                <c:pt idx="249">
                  <c:v>91</c:v>
                </c:pt>
                <c:pt idx="250">
                  <c:v>75.333333333333329</c:v>
                </c:pt>
                <c:pt idx="251">
                  <c:v>87.666666666666671</c:v>
                </c:pt>
                <c:pt idx="252">
                  <c:v>82</c:v>
                </c:pt>
                <c:pt idx="253">
                  <c:v>62.666666666666664</c:v>
                </c:pt>
                <c:pt idx="254">
                  <c:v>89.666666666666671</c:v>
                </c:pt>
                <c:pt idx="255">
                  <c:v>72.333333333333329</c:v>
                </c:pt>
                <c:pt idx="256">
                  <c:v>87.666666666666671</c:v>
                </c:pt>
                <c:pt idx="257">
                  <c:v>82</c:v>
                </c:pt>
                <c:pt idx="258">
                  <c:v>62.666666666666664</c:v>
                </c:pt>
                <c:pt idx="259">
                  <c:v>89.666666666666671</c:v>
                </c:pt>
                <c:pt idx="260">
                  <c:v>83</c:v>
                </c:pt>
                <c:pt idx="261">
                  <c:v>60.666666666666664</c:v>
                </c:pt>
                <c:pt idx="262">
                  <c:v>88.333333333333329</c:v>
                </c:pt>
                <c:pt idx="263">
                  <c:v>91</c:v>
                </c:pt>
                <c:pt idx="264">
                  <c:v>75.333333333333329</c:v>
                </c:pt>
                <c:pt idx="265">
                  <c:v>82</c:v>
                </c:pt>
                <c:pt idx="266">
                  <c:v>62.666666666666664</c:v>
                </c:pt>
                <c:pt idx="267">
                  <c:v>89.666666666666671</c:v>
                </c:pt>
                <c:pt idx="268">
                  <c:v>53</c:v>
                </c:pt>
                <c:pt idx="269">
                  <c:v>83</c:v>
                </c:pt>
                <c:pt idx="270">
                  <c:v>77</c:v>
                </c:pt>
                <c:pt idx="271">
                  <c:v>82</c:v>
                </c:pt>
                <c:pt idx="272">
                  <c:v>91</c:v>
                </c:pt>
                <c:pt idx="273">
                  <c:v>74</c:v>
                </c:pt>
                <c:pt idx="274">
                  <c:v>62.666666666666664</c:v>
                </c:pt>
                <c:pt idx="275">
                  <c:v>87.666666666666671</c:v>
                </c:pt>
                <c:pt idx="276">
                  <c:v>75.333333333333329</c:v>
                </c:pt>
                <c:pt idx="277">
                  <c:v>83</c:v>
                </c:pt>
                <c:pt idx="278">
                  <c:v>60.666666666666664</c:v>
                </c:pt>
                <c:pt idx="279">
                  <c:v>89.666666666666671</c:v>
                </c:pt>
                <c:pt idx="280">
                  <c:v>72.333333333333329</c:v>
                </c:pt>
                <c:pt idx="281">
                  <c:v>82</c:v>
                </c:pt>
                <c:pt idx="282">
                  <c:v>91</c:v>
                </c:pt>
                <c:pt idx="283">
                  <c:v>74</c:v>
                </c:pt>
                <c:pt idx="284">
                  <c:v>62.666666666666664</c:v>
                </c:pt>
                <c:pt idx="285">
                  <c:v>87.666666666666671</c:v>
                </c:pt>
                <c:pt idx="286">
                  <c:v>77</c:v>
                </c:pt>
                <c:pt idx="287">
                  <c:v>83</c:v>
                </c:pt>
                <c:pt idx="288">
                  <c:v>60.666666666666664</c:v>
                </c:pt>
                <c:pt idx="289">
                  <c:v>89.666666666666671</c:v>
                </c:pt>
                <c:pt idx="290">
                  <c:v>72.333333333333329</c:v>
                </c:pt>
                <c:pt idx="291">
                  <c:v>82</c:v>
                </c:pt>
                <c:pt idx="292">
                  <c:v>91</c:v>
                </c:pt>
                <c:pt idx="293">
                  <c:v>62.666666666666664</c:v>
                </c:pt>
                <c:pt idx="294">
                  <c:v>87.666666666666671</c:v>
                </c:pt>
                <c:pt idx="295">
                  <c:v>77</c:v>
                </c:pt>
                <c:pt idx="296">
                  <c:v>83</c:v>
                </c:pt>
                <c:pt idx="297">
                  <c:v>60.666666666666664</c:v>
                </c:pt>
                <c:pt idx="298">
                  <c:v>92.666666666666671</c:v>
                </c:pt>
                <c:pt idx="299">
                  <c:v>72.333333333333329</c:v>
                </c:pt>
                <c:pt idx="300">
                  <c:v>82</c:v>
                </c:pt>
                <c:pt idx="301">
                  <c:v>76.666666666666671</c:v>
                </c:pt>
                <c:pt idx="302">
                  <c:v>82</c:v>
                </c:pt>
                <c:pt idx="303">
                  <c:v>82</c:v>
                </c:pt>
                <c:pt idx="304">
                  <c:v>72.333333333333329</c:v>
                </c:pt>
                <c:pt idx="305">
                  <c:v>82.333333333333329</c:v>
                </c:pt>
                <c:pt idx="306">
                  <c:v>87.666666666666671</c:v>
                </c:pt>
                <c:pt idx="307">
                  <c:v>82</c:v>
                </c:pt>
                <c:pt idx="308">
                  <c:v>62.666666666666664</c:v>
                </c:pt>
                <c:pt idx="309">
                  <c:v>89.666666666666671</c:v>
                </c:pt>
                <c:pt idx="310">
                  <c:v>72.333333333333329</c:v>
                </c:pt>
                <c:pt idx="311">
                  <c:v>83</c:v>
                </c:pt>
                <c:pt idx="312">
                  <c:v>60.666666666666664</c:v>
                </c:pt>
                <c:pt idx="313">
                  <c:v>88.333333333333329</c:v>
                </c:pt>
                <c:pt idx="314">
                  <c:v>91</c:v>
                </c:pt>
                <c:pt idx="315">
                  <c:v>75.333333333333329</c:v>
                </c:pt>
                <c:pt idx="316">
                  <c:v>82</c:v>
                </c:pt>
                <c:pt idx="317">
                  <c:v>62.666666666666664</c:v>
                </c:pt>
                <c:pt idx="318">
                  <c:v>89.666666666666671</c:v>
                </c:pt>
                <c:pt idx="319">
                  <c:v>72.333333333333329</c:v>
                </c:pt>
                <c:pt idx="320">
                  <c:v>83</c:v>
                </c:pt>
                <c:pt idx="321">
                  <c:v>53</c:v>
                </c:pt>
                <c:pt idx="322">
                  <c:v>88.333333333333329</c:v>
                </c:pt>
                <c:pt idx="323">
                  <c:v>77</c:v>
                </c:pt>
                <c:pt idx="324">
                  <c:v>82</c:v>
                </c:pt>
                <c:pt idx="325">
                  <c:v>91</c:v>
                </c:pt>
                <c:pt idx="326">
                  <c:v>74</c:v>
                </c:pt>
                <c:pt idx="327">
                  <c:v>62.666666666666664</c:v>
                </c:pt>
                <c:pt idx="328">
                  <c:v>87.666666666666671</c:v>
                </c:pt>
                <c:pt idx="329">
                  <c:v>75.333333333333329</c:v>
                </c:pt>
                <c:pt idx="330">
                  <c:v>83</c:v>
                </c:pt>
                <c:pt idx="331">
                  <c:v>60.666666666666664</c:v>
                </c:pt>
                <c:pt idx="332">
                  <c:v>89.666666666666671</c:v>
                </c:pt>
                <c:pt idx="333">
                  <c:v>72.333333333333329</c:v>
                </c:pt>
                <c:pt idx="334">
                  <c:v>82</c:v>
                </c:pt>
                <c:pt idx="335">
                  <c:v>91</c:v>
                </c:pt>
                <c:pt idx="336">
                  <c:v>74</c:v>
                </c:pt>
                <c:pt idx="337">
                  <c:v>62.666666666666664</c:v>
                </c:pt>
                <c:pt idx="338">
                  <c:v>87.666666666666671</c:v>
                </c:pt>
                <c:pt idx="339">
                  <c:v>77</c:v>
                </c:pt>
                <c:pt idx="340">
                  <c:v>83</c:v>
                </c:pt>
                <c:pt idx="341">
                  <c:v>60.666666666666664</c:v>
                </c:pt>
                <c:pt idx="342">
                  <c:v>89.666666666666671</c:v>
                </c:pt>
                <c:pt idx="343">
                  <c:v>72.333333333333329</c:v>
                </c:pt>
                <c:pt idx="344">
                  <c:v>82</c:v>
                </c:pt>
                <c:pt idx="345">
                  <c:v>91</c:v>
                </c:pt>
                <c:pt idx="346">
                  <c:v>74</c:v>
                </c:pt>
                <c:pt idx="347">
                  <c:v>62.666666666666664</c:v>
                </c:pt>
                <c:pt idx="348">
                  <c:v>87.666666666666671</c:v>
                </c:pt>
                <c:pt idx="349">
                  <c:v>77</c:v>
                </c:pt>
                <c:pt idx="350">
                  <c:v>83</c:v>
                </c:pt>
                <c:pt idx="351">
                  <c:v>60.666666666666664</c:v>
                </c:pt>
                <c:pt idx="352">
                  <c:v>89.666666666666671</c:v>
                </c:pt>
                <c:pt idx="353">
                  <c:v>72.333333333333329</c:v>
                </c:pt>
                <c:pt idx="354">
                  <c:v>82</c:v>
                </c:pt>
                <c:pt idx="355">
                  <c:v>91</c:v>
                </c:pt>
                <c:pt idx="356">
                  <c:v>74</c:v>
                </c:pt>
                <c:pt idx="357">
                  <c:v>62.666666666666664</c:v>
                </c:pt>
                <c:pt idx="358">
                  <c:v>87.666666666666671</c:v>
                </c:pt>
                <c:pt idx="359">
                  <c:v>77</c:v>
                </c:pt>
                <c:pt idx="360">
                  <c:v>72.333333333333329</c:v>
                </c:pt>
                <c:pt idx="361">
                  <c:v>82</c:v>
                </c:pt>
                <c:pt idx="362">
                  <c:v>82</c:v>
                </c:pt>
                <c:pt idx="363">
                  <c:v>76.666666666666671</c:v>
                </c:pt>
                <c:pt idx="364">
                  <c:v>82</c:v>
                </c:pt>
                <c:pt idx="365">
                  <c:v>62.666666666666664</c:v>
                </c:pt>
                <c:pt idx="366">
                  <c:v>89.666666666666671</c:v>
                </c:pt>
                <c:pt idx="367">
                  <c:v>53</c:v>
                </c:pt>
                <c:pt idx="368">
                  <c:v>83</c:v>
                </c:pt>
                <c:pt idx="369">
                  <c:v>60.666666666666664</c:v>
                </c:pt>
                <c:pt idx="370">
                  <c:v>89.666666666666671</c:v>
                </c:pt>
                <c:pt idx="371">
                  <c:v>72.333333333333329</c:v>
                </c:pt>
                <c:pt idx="372">
                  <c:v>82</c:v>
                </c:pt>
                <c:pt idx="373">
                  <c:v>91</c:v>
                </c:pt>
                <c:pt idx="374">
                  <c:v>74</c:v>
                </c:pt>
                <c:pt idx="375">
                  <c:v>62.666666666666664</c:v>
                </c:pt>
                <c:pt idx="376">
                  <c:v>87.666666666666671</c:v>
                </c:pt>
                <c:pt idx="377">
                  <c:v>77</c:v>
                </c:pt>
                <c:pt idx="378">
                  <c:v>83</c:v>
                </c:pt>
                <c:pt idx="379">
                  <c:v>60.666666666666664</c:v>
                </c:pt>
                <c:pt idx="380">
                  <c:v>89.666666666666671</c:v>
                </c:pt>
                <c:pt idx="381">
                  <c:v>72.333333333333329</c:v>
                </c:pt>
                <c:pt idx="382">
                  <c:v>82</c:v>
                </c:pt>
                <c:pt idx="383">
                  <c:v>91</c:v>
                </c:pt>
                <c:pt idx="384">
                  <c:v>74</c:v>
                </c:pt>
                <c:pt idx="385">
                  <c:v>62.666666666666664</c:v>
                </c:pt>
                <c:pt idx="386">
                  <c:v>87.666666666666671</c:v>
                </c:pt>
                <c:pt idx="387">
                  <c:v>77</c:v>
                </c:pt>
                <c:pt idx="388">
                  <c:v>83</c:v>
                </c:pt>
                <c:pt idx="389">
                  <c:v>60.666666666666664</c:v>
                </c:pt>
                <c:pt idx="390">
                  <c:v>89.666666666666671</c:v>
                </c:pt>
                <c:pt idx="391">
                  <c:v>72.333333333333329</c:v>
                </c:pt>
                <c:pt idx="392">
                  <c:v>82</c:v>
                </c:pt>
                <c:pt idx="393">
                  <c:v>91</c:v>
                </c:pt>
                <c:pt idx="394">
                  <c:v>62.666666666666664</c:v>
                </c:pt>
                <c:pt idx="395">
                  <c:v>87.666666666666671</c:v>
                </c:pt>
                <c:pt idx="396">
                  <c:v>77</c:v>
                </c:pt>
                <c:pt idx="397">
                  <c:v>83</c:v>
                </c:pt>
                <c:pt idx="398">
                  <c:v>60.666666666666664</c:v>
                </c:pt>
                <c:pt idx="399">
                  <c:v>89.666666666666671</c:v>
                </c:pt>
                <c:pt idx="400">
                  <c:v>75.333333333333329</c:v>
                </c:pt>
                <c:pt idx="401">
                  <c:v>87.666666666666671</c:v>
                </c:pt>
                <c:pt idx="402">
                  <c:v>82</c:v>
                </c:pt>
                <c:pt idx="403">
                  <c:v>62.666666666666664</c:v>
                </c:pt>
                <c:pt idx="404">
                  <c:v>89.666666666666671</c:v>
                </c:pt>
                <c:pt idx="405">
                  <c:v>72.333333333333329</c:v>
                </c:pt>
                <c:pt idx="406">
                  <c:v>83</c:v>
                </c:pt>
                <c:pt idx="407">
                  <c:v>60.666666666666664</c:v>
                </c:pt>
                <c:pt idx="408">
                  <c:v>88.333333333333329</c:v>
                </c:pt>
                <c:pt idx="409">
                  <c:v>91</c:v>
                </c:pt>
                <c:pt idx="410">
                  <c:v>75.333333333333329</c:v>
                </c:pt>
                <c:pt idx="411">
                  <c:v>82</c:v>
                </c:pt>
                <c:pt idx="412">
                  <c:v>62.666666666666664</c:v>
                </c:pt>
                <c:pt idx="413">
                  <c:v>89.666666666666671</c:v>
                </c:pt>
                <c:pt idx="414">
                  <c:v>53</c:v>
                </c:pt>
                <c:pt idx="415">
                  <c:v>83</c:v>
                </c:pt>
                <c:pt idx="416">
                  <c:v>77</c:v>
                </c:pt>
                <c:pt idx="417">
                  <c:v>82</c:v>
                </c:pt>
                <c:pt idx="418">
                  <c:v>91</c:v>
                </c:pt>
                <c:pt idx="419">
                  <c:v>74</c:v>
                </c:pt>
                <c:pt idx="420">
                  <c:v>62.666666666666664</c:v>
                </c:pt>
                <c:pt idx="421">
                  <c:v>87.666666666666671</c:v>
                </c:pt>
                <c:pt idx="422">
                  <c:v>75.333333333333329</c:v>
                </c:pt>
                <c:pt idx="423">
                  <c:v>83</c:v>
                </c:pt>
                <c:pt idx="424">
                  <c:v>60.666666666666664</c:v>
                </c:pt>
                <c:pt idx="425">
                  <c:v>89.666666666666671</c:v>
                </c:pt>
                <c:pt idx="426">
                  <c:v>72.333333333333329</c:v>
                </c:pt>
                <c:pt idx="427">
                  <c:v>82</c:v>
                </c:pt>
                <c:pt idx="428">
                  <c:v>91</c:v>
                </c:pt>
                <c:pt idx="429">
                  <c:v>74</c:v>
                </c:pt>
                <c:pt idx="430">
                  <c:v>62.666666666666664</c:v>
                </c:pt>
                <c:pt idx="431">
                  <c:v>87.666666666666671</c:v>
                </c:pt>
                <c:pt idx="432">
                  <c:v>77</c:v>
                </c:pt>
                <c:pt idx="433">
                  <c:v>83</c:v>
                </c:pt>
                <c:pt idx="434">
                  <c:v>60.666666666666664</c:v>
                </c:pt>
                <c:pt idx="435">
                  <c:v>89.666666666666671</c:v>
                </c:pt>
                <c:pt idx="436">
                  <c:v>72.333333333333329</c:v>
                </c:pt>
                <c:pt idx="437">
                  <c:v>82</c:v>
                </c:pt>
                <c:pt idx="438">
                  <c:v>91</c:v>
                </c:pt>
                <c:pt idx="439">
                  <c:v>62.666666666666664</c:v>
                </c:pt>
                <c:pt idx="440">
                  <c:v>72.333333333333329</c:v>
                </c:pt>
                <c:pt idx="441">
                  <c:v>82</c:v>
                </c:pt>
                <c:pt idx="442">
                  <c:v>62.666666666666664</c:v>
                </c:pt>
                <c:pt idx="443">
                  <c:v>82</c:v>
                </c:pt>
                <c:pt idx="444">
                  <c:v>76.666666666666671</c:v>
                </c:pt>
                <c:pt idx="445">
                  <c:v>82</c:v>
                </c:pt>
                <c:pt idx="446">
                  <c:v>62.666666666666664</c:v>
                </c:pt>
                <c:pt idx="447">
                  <c:v>89.666666666666671</c:v>
                </c:pt>
                <c:pt idx="448">
                  <c:v>53</c:v>
                </c:pt>
                <c:pt idx="449">
                  <c:v>83</c:v>
                </c:pt>
                <c:pt idx="450">
                  <c:v>60.666666666666664</c:v>
                </c:pt>
                <c:pt idx="451">
                  <c:v>89.666666666666671</c:v>
                </c:pt>
                <c:pt idx="452">
                  <c:v>72.333333333333329</c:v>
                </c:pt>
                <c:pt idx="453">
                  <c:v>82</c:v>
                </c:pt>
                <c:pt idx="454">
                  <c:v>91</c:v>
                </c:pt>
                <c:pt idx="455">
                  <c:v>74</c:v>
                </c:pt>
                <c:pt idx="456">
                  <c:v>62.666666666666664</c:v>
                </c:pt>
                <c:pt idx="457">
                  <c:v>87.666666666666671</c:v>
                </c:pt>
                <c:pt idx="458">
                  <c:v>77</c:v>
                </c:pt>
                <c:pt idx="459">
                  <c:v>83</c:v>
                </c:pt>
                <c:pt idx="460">
                  <c:v>60.666666666666664</c:v>
                </c:pt>
                <c:pt idx="461">
                  <c:v>89.666666666666671</c:v>
                </c:pt>
                <c:pt idx="462">
                  <c:v>72.333333333333329</c:v>
                </c:pt>
                <c:pt idx="463">
                  <c:v>82</c:v>
                </c:pt>
                <c:pt idx="464">
                  <c:v>91</c:v>
                </c:pt>
                <c:pt idx="465">
                  <c:v>74</c:v>
                </c:pt>
                <c:pt idx="466">
                  <c:v>62.666666666666664</c:v>
                </c:pt>
                <c:pt idx="467">
                  <c:v>87.666666666666671</c:v>
                </c:pt>
                <c:pt idx="468">
                  <c:v>77</c:v>
                </c:pt>
                <c:pt idx="469">
                  <c:v>83</c:v>
                </c:pt>
                <c:pt idx="470">
                  <c:v>60.666666666666664</c:v>
                </c:pt>
                <c:pt idx="471">
                  <c:v>89.666666666666671</c:v>
                </c:pt>
                <c:pt idx="472">
                  <c:v>72.333333333333329</c:v>
                </c:pt>
                <c:pt idx="473">
                  <c:v>82</c:v>
                </c:pt>
                <c:pt idx="474">
                  <c:v>91</c:v>
                </c:pt>
                <c:pt idx="475">
                  <c:v>62.666666666666664</c:v>
                </c:pt>
                <c:pt idx="476">
                  <c:v>87.666666666666671</c:v>
                </c:pt>
                <c:pt idx="477">
                  <c:v>77</c:v>
                </c:pt>
                <c:pt idx="478">
                  <c:v>83</c:v>
                </c:pt>
                <c:pt idx="479">
                  <c:v>60.666666666666664</c:v>
                </c:pt>
                <c:pt idx="480">
                  <c:v>89.666666666666671</c:v>
                </c:pt>
                <c:pt idx="481">
                  <c:v>72.333333333333329</c:v>
                </c:pt>
                <c:pt idx="482">
                  <c:v>82</c:v>
                </c:pt>
                <c:pt idx="483">
                  <c:v>91</c:v>
                </c:pt>
                <c:pt idx="484">
                  <c:v>74</c:v>
                </c:pt>
                <c:pt idx="485">
                  <c:v>62.666666666666664</c:v>
                </c:pt>
                <c:pt idx="486">
                  <c:v>87.666666666666671</c:v>
                </c:pt>
                <c:pt idx="487">
                  <c:v>77</c:v>
                </c:pt>
                <c:pt idx="488">
                  <c:v>75.333333333333329</c:v>
                </c:pt>
                <c:pt idx="489">
                  <c:v>87.666666666666671</c:v>
                </c:pt>
                <c:pt idx="490">
                  <c:v>82</c:v>
                </c:pt>
                <c:pt idx="491">
                  <c:v>62.666666666666664</c:v>
                </c:pt>
                <c:pt idx="492">
                  <c:v>89.666666666666671</c:v>
                </c:pt>
                <c:pt idx="493">
                  <c:v>72.333333333333329</c:v>
                </c:pt>
                <c:pt idx="494">
                  <c:v>83</c:v>
                </c:pt>
                <c:pt idx="495">
                  <c:v>60.666666666666664</c:v>
                </c:pt>
                <c:pt idx="496">
                  <c:v>88.333333333333329</c:v>
                </c:pt>
                <c:pt idx="497">
                  <c:v>91</c:v>
                </c:pt>
                <c:pt idx="498">
                  <c:v>75.333333333333329</c:v>
                </c:pt>
                <c:pt idx="499">
                  <c:v>82</c:v>
                </c:pt>
              </c:numCache>
            </c:numRef>
          </c:yVal>
          <c:smooth val="0"/>
          <c:extLst>
            <c:ext xmlns:c16="http://schemas.microsoft.com/office/drawing/2014/chart" uri="{C3380CC4-5D6E-409C-BE32-E72D297353CC}">
              <c16:uniqueId val="{00000000-35AA-416F-9AC5-B3C13541A012}"/>
            </c:ext>
          </c:extLst>
        </c:ser>
        <c:dLbls>
          <c:showLegendKey val="0"/>
          <c:showVal val="0"/>
          <c:showCatName val="0"/>
          <c:showSerName val="0"/>
          <c:showPercent val="0"/>
          <c:showBubbleSize val="0"/>
        </c:dLbls>
        <c:axId val="1774779472"/>
        <c:axId val="1768951264"/>
      </c:scatterChart>
      <c:valAx>
        <c:axId val="177477947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68951264"/>
        <c:crosses val="autoZero"/>
        <c:crossBetween val="midCat"/>
      </c:valAx>
      <c:valAx>
        <c:axId val="17689512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779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117238</xdr:colOff>
      <xdr:row>0</xdr:row>
      <xdr:rowOff>57150</xdr:rowOff>
    </xdr:from>
    <xdr:to>
      <xdr:col>7</xdr:col>
      <xdr:colOff>348628</xdr:colOff>
      <xdr:row>4</xdr:row>
      <xdr:rowOff>113731</xdr:rowOff>
    </xdr:to>
    <xdr:sp macro="" textlink="">
      <xdr:nvSpPr>
        <xdr:cNvPr id="2" name="Rectangle: Rounded Corners 1">
          <a:extLst>
            <a:ext uri="{FF2B5EF4-FFF2-40B4-BE49-F238E27FC236}">
              <a16:creationId xmlns:a16="http://schemas.microsoft.com/office/drawing/2014/main" id="{811EB1FE-784E-4E44-8DE9-0B61ED6DCE82}"/>
            </a:ext>
          </a:extLst>
        </xdr:cNvPr>
        <xdr:cNvSpPr/>
      </xdr:nvSpPr>
      <xdr:spPr>
        <a:xfrm>
          <a:off x="117238" y="57150"/>
          <a:ext cx="4502076" cy="803640"/>
        </a:xfrm>
        <a:prstGeom prst="roundRect">
          <a:avLst/>
        </a:prstGeom>
        <a:solidFill>
          <a:sysClr val="window" lastClr="FFFFFF"/>
        </a:solidFill>
        <a:ln>
          <a:noFill/>
        </a:ln>
        <a:effectLst>
          <a:softEdge rad="12700"/>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2400" b="1">
              <a:solidFill>
                <a:srgbClr val="404040"/>
              </a:solidFill>
            </a:rPr>
            <a:t>Student Performance</a:t>
          </a:r>
          <a:r>
            <a:rPr lang="en-IN" sz="2400" b="1" baseline="0">
              <a:solidFill>
                <a:srgbClr val="404040"/>
              </a:solidFill>
            </a:rPr>
            <a:t> </a:t>
          </a:r>
          <a:r>
            <a:rPr lang="en-IN" sz="2400" b="1">
              <a:solidFill>
                <a:srgbClr val="404040"/>
              </a:solidFill>
            </a:rPr>
            <a:t>Dashboard</a:t>
          </a:r>
        </a:p>
      </xdr:txBody>
    </xdr:sp>
    <xdr:clientData/>
  </xdr:twoCellAnchor>
  <xdr:twoCellAnchor>
    <xdr:from>
      <xdr:col>7</xdr:col>
      <xdr:colOff>529166</xdr:colOff>
      <xdr:row>0</xdr:row>
      <xdr:rowOff>79423</xdr:rowOff>
    </xdr:from>
    <xdr:to>
      <xdr:col>18</xdr:col>
      <xdr:colOff>492836</xdr:colOff>
      <xdr:row>4</xdr:row>
      <xdr:rowOff>123209</xdr:rowOff>
    </xdr:to>
    <xdr:sp macro="" textlink="">
      <xdr:nvSpPr>
        <xdr:cNvPr id="3" name="Rectangle: Rounded Corners 2">
          <a:extLst>
            <a:ext uri="{FF2B5EF4-FFF2-40B4-BE49-F238E27FC236}">
              <a16:creationId xmlns:a16="http://schemas.microsoft.com/office/drawing/2014/main" id="{0DF8DFDD-F34B-4602-9E46-B03FBFD7A251}"/>
            </a:ext>
          </a:extLst>
        </xdr:cNvPr>
        <xdr:cNvSpPr/>
      </xdr:nvSpPr>
      <xdr:spPr>
        <a:xfrm>
          <a:off x="4775136" y="79423"/>
          <a:ext cx="6635909" cy="764085"/>
        </a:xfrm>
        <a:prstGeom prst="roundRect">
          <a:avLst/>
        </a:prstGeom>
        <a:solidFill>
          <a:schemeClr val="bg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solidFill>
              <a:srgbClr val="404040"/>
            </a:solidFill>
          </a:endParaRPr>
        </a:p>
      </xdr:txBody>
    </xdr:sp>
    <xdr:clientData/>
  </xdr:twoCellAnchor>
  <xdr:twoCellAnchor>
    <xdr:from>
      <xdr:col>8</xdr:col>
      <xdr:colOff>14212</xdr:colOff>
      <xdr:row>2</xdr:row>
      <xdr:rowOff>129992</xdr:rowOff>
    </xdr:from>
    <xdr:to>
      <xdr:col>10</xdr:col>
      <xdr:colOff>219132</xdr:colOff>
      <xdr:row>4</xdr:row>
      <xdr:rowOff>25737</xdr:rowOff>
    </xdr:to>
    <xdr:sp macro="" textlink="Sheet1!C2">
      <xdr:nvSpPr>
        <xdr:cNvPr id="4" name="Rectangle 3">
          <a:extLst>
            <a:ext uri="{FF2B5EF4-FFF2-40B4-BE49-F238E27FC236}">
              <a16:creationId xmlns:a16="http://schemas.microsoft.com/office/drawing/2014/main" id="{1B1275E6-5110-44BB-9A38-7D5B416928C5}"/>
            </a:ext>
          </a:extLst>
        </xdr:cNvPr>
        <xdr:cNvSpPr/>
      </xdr:nvSpPr>
      <xdr:spPr>
        <a:xfrm>
          <a:off x="4894996" y="503521"/>
          <a:ext cx="1425116" cy="269275"/>
        </a:xfrm>
        <a:prstGeom prst="rect">
          <a:avLst/>
        </a:prstGeom>
        <a:solidFill>
          <a:srgbClr val="0072B2"/>
        </a:solidFill>
        <a:ln>
          <a:noFill/>
        </a:ln>
        <a:effectLst>
          <a:outerShdw blurRad="44450" dist="27940" dir="5400000" algn="ctr">
            <a:srgbClr val="000000">
              <a:alpha val="32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21DE6C3A-8FC7-4C7C-AC4E-F6580B43E94E}" type="TxLink">
            <a:rPr lang="en-US" sz="2000" b="1" i="0" u="none" strike="noStrike">
              <a:solidFill>
                <a:srgbClr val="F0F2F6"/>
              </a:solidFill>
              <a:latin typeface="Calibri"/>
              <a:ea typeface="Calibri"/>
              <a:cs typeface="Calibri"/>
            </a:rPr>
            <a:pPr algn="ctr"/>
            <a:t>77.91</a:t>
          </a:fld>
          <a:endParaRPr lang="en-IN" sz="2000" b="1">
            <a:solidFill>
              <a:srgbClr val="F0F2F6"/>
            </a:solidFill>
          </a:endParaRPr>
        </a:p>
      </xdr:txBody>
    </xdr:sp>
    <xdr:clientData/>
  </xdr:twoCellAnchor>
  <xdr:twoCellAnchor>
    <xdr:from>
      <xdr:col>0</xdr:col>
      <xdr:colOff>129209</xdr:colOff>
      <xdr:row>5</xdr:row>
      <xdr:rowOff>54740</xdr:rowOff>
    </xdr:from>
    <xdr:to>
      <xdr:col>8</xdr:col>
      <xdr:colOff>0</xdr:colOff>
      <xdr:row>14</xdr:row>
      <xdr:rowOff>171174</xdr:rowOff>
    </xdr:to>
    <xdr:graphicFrame macro="">
      <xdr:nvGraphicFramePr>
        <xdr:cNvPr id="5" name="Chart 4">
          <a:extLst>
            <a:ext uri="{FF2B5EF4-FFF2-40B4-BE49-F238E27FC236}">
              <a16:creationId xmlns:a16="http://schemas.microsoft.com/office/drawing/2014/main" id="{5E08821F-548F-4706-9C69-46A06C38C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82826</xdr:colOff>
      <xdr:row>5</xdr:row>
      <xdr:rowOff>60739</xdr:rowOff>
    </xdr:from>
    <xdr:to>
      <xdr:col>15</xdr:col>
      <xdr:colOff>358421</xdr:colOff>
      <xdr:row>14</xdr:row>
      <xdr:rowOff>159592</xdr:rowOff>
    </xdr:to>
    <xdr:graphicFrame macro="">
      <xdr:nvGraphicFramePr>
        <xdr:cNvPr id="6" name="Chart 5">
          <a:extLst>
            <a:ext uri="{FF2B5EF4-FFF2-40B4-BE49-F238E27FC236}">
              <a16:creationId xmlns:a16="http://schemas.microsoft.com/office/drawing/2014/main" id="{D7A30A80-D670-483F-85EF-B6387A982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82550</xdr:colOff>
      <xdr:row>15</xdr:row>
      <xdr:rowOff>88900</xdr:rowOff>
    </xdr:from>
    <xdr:to>
      <xdr:col>8</xdr:col>
      <xdr:colOff>11044</xdr:colOff>
      <xdr:row>25</xdr:row>
      <xdr:rowOff>138995</xdr:rowOff>
    </xdr:to>
    <xdr:graphicFrame macro="">
      <xdr:nvGraphicFramePr>
        <xdr:cNvPr id="7" name="Chart 6">
          <a:extLst>
            <a:ext uri="{FF2B5EF4-FFF2-40B4-BE49-F238E27FC236}">
              <a16:creationId xmlns:a16="http://schemas.microsoft.com/office/drawing/2014/main" id="{4A1B7F3F-DDD1-4119-85C1-E5D403AB5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99391</xdr:colOff>
      <xdr:row>15</xdr:row>
      <xdr:rowOff>95250</xdr:rowOff>
    </xdr:from>
    <xdr:to>
      <xdr:col>15</xdr:col>
      <xdr:colOff>372240</xdr:colOff>
      <xdr:row>25</xdr:row>
      <xdr:rowOff>144639</xdr:rowOff>
    </xdr:to>
    <xdr:graphicFrame macro="">
      <xdr:nvGraphicFramePr>
        <xdr:cNvPr id="8" name="Chart 7">
          <a:extLst>
            <a:ext uri="{FF2B5EF4-FFF2-40B4-BE49-F238E27FC236}">
              <a16:creationId xmlns:a16="http://schemas.microsoft.com/office/drawing/2014/main" id="{F45F8920-7862-4ED8-A63F-4F9F7C592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26</xdr:row>
      <xdr:rowOff>76200</xdr:rowOff>
    </xdr:from>
    <xdr:to>
      <xdr:col>12</xdr:col>
      <xdr:colOff>549701</xdr:colOff>
      <xdr:row>39</xdr:row>
      <xdr:rowOff>18956</xdr:rowOff>
    </xdr:to>
    <xdr:graphicFrame macro="">
      <xdr:nvGraphicFramePr>
        <xdr:cNvPr id="9" name="Chart 8">
          <a:extLst>
            <a:ext uri="{FF2B5EF4-FFF2-40B4-BE49-F238E27FC236}">
              <a16:creationId xmlns:a16="http://schemas.microsoft.com/office/drawing/2014/main" id="{1CD25E21-054C-4F47-A6FF-4633BE397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478840</xdr:colOff>
      <xdr:row>12</xdr:row>
      <xdr:rowOff>152543</xdr:rowOff>
    </xdr:from>
    <xdr:to>
      <xdr:col>18</xdr:col>
      <xdr:colOff>487938</xdr:colOff>
      <xdr:row>17</xdr:row>
      <xdr:rowOff>171499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69F117C-17A6-4557-A4D3-3C81F60F50D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77347" y="2313439"/>
              <a:ext cx="1828800" cy="919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452782</xdr:colOff>
      <xdr:row>5</xdr:row>
      <xdr:rowOff>60739</xdr:rowOff>
    </xdr:from>
    <xdr:to>
      <xdr:col>18</xdr:col>
      <xdr:colOff>503976</xdr:colOff>
      <xdr:row>12</xdr:row>
      <xdr:rowOff>15678</xdr:rowOff>
    </xdr:to>
    <mc:AlternateContent xmlns:mc="http://schemas.openxmlformats.org/markup-compatibility/2006" xmlns:a14="http://schemas.microsoft.com/office/drawing/2010/main">
      <mc:Choice Requires="a14">
        <xdr:graphicFrame macro="">
          <xdr:nvGraphicFramePr>
            <xdr:cNvPr id="11" name="Performance">
              <a:extLst>
                <a:ext uri="{FF2B5EF4-FFF2-40B4-BE49-F238E27FC236}">
                  <a16:creationId xmlns:a16="http://schemas.microsoft.com/office/drawing/2014/main" id="{818B774A-C13D-471B-A2F2-0F16DC6C5C0C}"/>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9551289" y="961112"/>
              <a:ext cx="1870896" cy="1215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446051</xdr:colOff>
      <xdr:row>2</xdr:row>
      <xdr:rowOff>124116</xdr:rowOff>
    </xdr:from>
    <xdr:to>
      <xdr:col>12</xdr:col>
      <xdr:colOff>527009</xdr:colOff>
      <xdr:row>4</xdr:row>
      <xdr:rowOff>19862</xdr:rowOff>
    </xdr:to>
    <xdr:sp macro="" textlink="Sheet1!C3">
      <xdr:nvSpPr>
        <xdr:cNvPr id="14" name="Rectangle 13">
          <a:extLst>
            <a:ext uri="{FF2B5EF4-FFF2-40B4-BE49-F238E27FC236}">
              <a16:creationId xmlns:a16="http://schemas.microsoft.com/office/drawing/2014/main" id="{E241A30B-AA3A-4FC1-9189-A796A45B929E}"/>
            </a:ext>
          </a:extLst>
        </xdr:cNvPr>
        <xdr:cNvSpPr/>
      </xdr:nvSpPr>
      <xdr:spPr>
        <a:xfrm>
          <a:off x="6547031" y="497645"/>
          <a:ext cx="1301154" cy="269276"/>
        </a:xfrm>
        <a:prstGeom prst="rect">
          <a:avLst/>
        </a:prstGeom>
        <a:solidFill>
          <a:srgbClr val="0072B2"/>
        </a:solidFill>
        <a:ln>
          <a:noFill/>
        </a:ln>
        <a:effectLst>
          <a:outerShdw blurRad="44450" dist="27940" dir="5400000" algn="ctr">
            <a:srgbClr val="000000">
              <a:alpha val="32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E186B10A-3CC8-4621-8333-4E01EEFA1F03}" type="TxLink">
            <a:rPr lang="en-US" sz="2000" b="1" i="0" u="none" strike="noStrike">
              <a:solidFill>
                <a:srgbClr val="F0F2F6"/>
              </a:solidFill>
              <a:latin typeface="Calibri"/>
              <a:ea typeface="Calibri"/>
              <a:cs typeface="Calibri"/>
            </a:rPr>
            <a:pPr algn="ctr"/>
            <a:t>500</a:t>
          </a:fld>
          <a:endParaRPr lang="en-IN" sz="2000" b="1">
            <a:solidFill>
              <a:srgbClr val="F0F2F6"/>
            </a:solidFill>
          </a:endParaRPr>
        </a:p>
      </xdr:txBody>
    </xdr:sp>
    <xdr:clientData/>
  </xdr:twoCellAnchor>
  <xdr:twoCellAnchor>
    <xdr:from>
      <xdr:col>10</xdr:col>
      <xdr:colOff>460222</xdr:colOff>
      <xdr:row>0</xdr:row>
      <xdr:rowOff>182204</xdr:rowOff>
    </xdr:from>
    <xdr:to>
      <xdr:col>12</xdr:col>
      <xdr:colOff>536042</xdr:colOff>
      <xdr:row>2</xdr:row>
      <xdr:rowOff>71261</xdr:rowOff>
    </xdr:to>
    <xdr:sp macro="" textlink="">
      <xdr:nvSpPr>
        <xdr:cNvPr id="15" name="Rectangle 14">
          <a:extLst>
            <a:ext uri="{FF2B5EF4-FFF2-40B4-BE49-F238E27FC236}">
              <a16:creationId xmlns:a16="http://schemas.microsoft.com/office/drawing/2014/main" id="{A1E07F3B-33EB-455A-9527-59A5CFD00425}"/>
            </a:ext>
          </a:extLst>
        </xdr:cNvPr>
        <xdr:cNvSpPr/>
      </xdr:nvSpPr>
      <xdr:spPr>
        <a:xfrm>
          <a:off x="6561202" y="182204"/>
          <a:ext cx="1296016" cy="262586"/>
        </a:xfrm>
        <a:prstGeom prst="rect">
          <a:avLst/>
        </a:prstGeom>
        <a:solidFill>
          <a:srgbClr val="0072B2"/>
        </a:solidFill>
        <a:ln>
          <a:noFill/>
        </a:ln>
        <a:effectLst>
          <a:outerShdw blurRad="44450" dist="27940" dir="5400000" algn="ctr">
            <a:srgbClr val="000000">
              <a:alpha val="32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400" b="1">
              <a:solidFill>
                <a:srgbClr val="F0F2F6"/>
              </a:solidFill>
            </a:rPr>
            <a:t>Total Students</a:t>
          </a:r>
        </a:p>
      </xdr:txBody>
    </xdr:sp>
    <xdr:clientData/>
  </xdr:twoCellAnchor>
  <xdr:twoCellAnchor>
    <xdr:from>
      <xdr:col>13</xdr:col>
      <xdr:colOff>284343</xdr:colOff>
      <xdr:row>2</xdr:row>
      <xdr:rowOff>147282</xdr:rowOff>
    </xdr:from>
    <xdr:to>
      <xdr:col>15</xdr:col>
      <xdr:colOff>360165</xdr:colOff>
      <xdr:row>4</xdr:row>
      <xdr:rowOff>43028</xdr:rowOff>
    </xdr:to>
    <xdr:sp macro="" textlink="Sheet1!C4">
      <xdr:nvSpPr>
        <xdr:cNvPr id="16" name="Rectangle 15">
          <a:extLst>
            <a:ext uri="{FF2B5EF4-FFF2-40B4-BE49-F238E27FC236}">
              <a16:creationId xmlns:a16="http://schemas.microsoft.com/office/drawing/2014/main" id="{1F5664D0-6F39-407D-8389-35EB711203BC}"/>
            </a:ext>
          </a:extLst>
        </xdr:cNvPr>
        <xdr:cNvSpPr/>
      </xdr:nvSpPr>
      <xdr:spPr>
        <a:xfrm>
          <a:off x="8215618" y="520811"/>
          <a:ext cx="1296018" cy="269276"/>
        </a:xfrm>
        <a:prstGeom prst="rect">
          <a:avLst/>
        </a:prstGeom>
        <a:solidFill>
          <a:srgbClr val="0072B2"/>
        </a:solidFill>
        <a:ln>
          <a:noFill/>
        </a:ln>
        <a:effectLst>
          <a:outerShdw blurRad="44450" dist="27940" dir="5400000" algn="ctr">
            <a:srgbClr val="000000">
              <a:alpha val="32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04D6220B-130F-4688-B2A4-F85CB37D1796}" type="TxLink">
            <a:rPr lang="en-US" sz="2000" b="0" i="0" u="none" strike="noStrike">
              <a:solidFill>
                <a:srgbClr val="F0F2F6"/>
              </a:solidFill>
              <a:latin typeface="Calibri"/>
              <a:ea typeface="Calibri"/>
              <a:cs typeface="Calibri"/>
            </a:rPr>
            <a:pPr algn="ctr"/>
            <a:t>284.00</a:t>
          </a:fld>
          <a:endParaRPr lang="en-IN" sz="2000">
            <a:solidFill>
              <a:srgbClr val="F0F2F6"/>
            </a:solidFill>
          </a:endParaRPr>
        </a:p>
      </xdr:txBody>
    </xdr:sp>
    <xdr:clientData/>
  </xdr:twoCellAnchor>
  <xdr:twoCellAnchor>
    <xdr:from>
      <xdr:col>13</xdr:col>
      <xdr:colOff>281849</xdr:colOff>
      <xdr:row>0</xdr:row>
      <xdr:rowOff>180468</xdr:rowOff>
    </xdr:from>
    <xdr:to>
      <xdr:col>15</xdr:col>
      <xdr:colOff>357671</xdr:colOff>
      <xdr:row>2</xdr:row>
      <xdr:rowOff>69525</xdr:rowOff>
    </xdr:to>
    <xdr:sp macro="" textlink="">
      <xdr:nvSpPr>
        <xdr:cNvPr id="17" name="Rectangle 16">
          <a:extLst>
            <a:ext uri="{FF2B5EF4-FFF2-40B4-BE49-F238E27FC236}">
              <a16:creationId xmlns:a16="http://schemas.microsoft.com/office/drawing/2014/main" id="{C9192059-A5AD-42EB-8A34-FF52F0C1C29B}"/>
            </a:ext>
          </a:extLst>
        </xdr:cNvPr>
        <xdr:cNvSpPr/>
      </xdr:nvSpPr>
      <xdr:spPr>
        <a:xfrm>
          <a:off x="8213124" y="180468"/>
          <a:ext cx="1296018" cy="262586"/>
        </a:xfrm>
        <a:prstGeom prst="rect">
          <a:avLst/>
        </a:prstGeom>
        <a:solidFill>
          <a:srgbClr val="0072B2"/>
        </a:solidFill>
        <a:ln>
          <a:noFill/>
        </a:ln>
        <a:effectLst>
          <a:outerShdw blurRad="44450" dist="27940" dir="5400000" algn="ctr">
            <a:srgbClr val="000000">
              <a:alpha val="32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400" b="1">
              <a:solidFill>
                <a:srgbClr val="F0F2F6"/>
              </a:solidFill>
            </a:rPr>
            <a:t>Max Score</a:t>
          </a:r>
        </a:p>
      </xdr:txBody>
    </xdr:sp>
    <xdr:clientData/>
  </xdr:twoCellAnchor>
  <xdr:twoCellAnchor>
    <xdr:from>
      <xdr:col>16</xdr:col>
      <xdr:colOff>167391</xdr:colOff>
      <xdr:row>2</xdr:row>
      <xdr:rowOff>129843</xdr:rowOff>
    </xdr:from>
    <xdr:to>
      <xdr:col>18</xdr:col>
      <xdr:colOff>243211</xdr:colOff>
      <xdr:row>4</xdr:row>
      <xdr:rowOff>25589</xdr:rowOff>
    </xdr:to>
    <xdr:sp macro="" textlink="Sheet1!C5">
      <xdr:nvSpPr>
        <xdr:cNvPr id="18" name="Rectangle 17">
          <a:extLst>
            <a:ext uri="{FF2B5EF4-FFF2-40B4-BE49-F238E27FC236}">
              <a16:creationId xmlns:a16="http://schemas.microsoft.com/office/drawing/2014/main" id="{33398517-FE44-42A5-AEDB-D2F7DA5BB358}"/>
            </a:ext>
          </a:extLst>
        </xdr:cNvPr>
        <xdr:cNvSpPr/>
      </xdr:nvSpPr>
      <xdr:spPr>
        <a:xfrm>
          <a:off x="9928960" y="503372"/>
          <a:ext cx="1296016" cy="269276"/>
        </a:xfrm>
        <a:prstGeom prst="rect">
          <a:avLst/>
        </a:prstGeom>
        <a:solidFill>
          <a:srgbClr val="0072B2"/>
        </a:solidFill>
        <a:ln>
          <a:noFill/>
        </a:ln>
        <a:effectLst>
          <a:outerShdw blurRad="44450" dist="27940" dir="5400000" algn="ctr">
            <a:srgbClr val="000000">
              <a:alpha val="32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033DB16A-842D-49B7-9A06-DA0C87907C11}" type="TxLink">
            <a:rPr lang="en-US" sz="2000" b="1" i="0" u="none" strike="noStrike">
              <a:solidFill>
                <a:srgbClr val="F0F2F6"/>
              </a:solidFill>
              <a:latin typeface="Calibri"/>
              <a:ea typeface="Calibri"/>
              <a:cs typeface="Calibri"/>
            </a:rPr>
            <a:pPr algn="ctr"/>
            <a:t>14</a:t>
          </a:fld>
          <a:endParaRPr lang="en-IN" sz="2000" b="1">
            <a:solidFill>
              <a:srgbClr val="F0F2F6"/>
            </a:solidFill>
          </a:endParaRPr>
        </a:p>
      </xdr:txBody>
    </xdr:sp>
    <xdr:clientData/>
  </xdr:twoCellAnchor>
  <xdr:twoCellAnchor>
    <xdr:from>
      <xdr:col>16</xdr:col>
      <xdr:colOff>174374</xdr:colOff>
      <xdr:row>1</xdr:row>
      <xdr:rowOff>1167</xdr:rowOff>
    </xdr:from>
    <xdr:to>
      <xdr:col>18</xdr:col>
      <xdr:colOff>250194</xdr:colOff>
      <xdr:row>2</xdr:row>
      <xdr:rowOff>76989</xdr:rowOff>
    </xdr:to>
    <xdr:sp macro="" textlink="">
      <xdr:nvSpPr>
        <xdr:cNvPr id="19" name="Rectangle 18">
          <a:extLst>
            <a:ext uri="{FF2B5EF4-FFF2-40B4-BE49-F238E27FC236}">
              <a16:creationId xmlns:a16="http://schemas.microsoft.com/office/drawing/2014/main" id="{F78254CF-0704-4C5C-AE0C-FB86959EF4A0}"/>
            </a:ext>
          </a:extLst>
        </xdr:cNvPr>
        <xdr:cNvSpPr/>
      </xdr:nvSpPr>
      <xdr:spPr>
        <a:xfrm>
          <a:off x="9935943" y="187932"/>
          <a:ext cx="1296016" cy="262586"/>
        </a:xfrm>
        <a:prstGeom prst="rect">
          <a:avLst/>
        </a:prstGeom>
        <a:solidFill>
          <a:srgbClr val="E65E00"/>
        </a:solidFill>
        <a:ln>
          <a:noFill/>
        </a:ln>
        <a:effectLst>
          <a:outerShdw blurRad="44450" dist="27940" dir="5400000" algn="ctr">
            <a:srgbClr val="000000">
              <a:alpha val="32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400" b="1">
              <a:solidFill>
                <a:srgbClr val="F0F2F6"/>
              </a:solidFill>
            </a:rPr>
            <a:t>At-Risk Count</a:t>
          </a:r>
        </a:p>
      </xdr:txBody>
    </xdr:sp>
    <xdr:clientData/>
  </xdr:twoCellAnchor>
  <xdr:twoCellAnchor editAs="oneCell">
    <xdr:from>
      <xdr:col>15</xdr:col>
      <xdr:colOff>474869</xdr:colOff>
      <xdr:row>18</xdr:row>
      <xdr:rowOff>89921</xdr:rowOff>
    </xdr:from>
    <xdr:to>
      <xdr:col>18</xdr:col>
      <xdr:colOff>503995</xdr:colOff>
      <xdr:row>25</xdr:row>
      <xdr:rowOff>143565</xdr:rowOff>
    </xdr:to>
    <mc:AlternateContent xmlns:mc="http://schemas.openxmlformats.org/markup-compatibility/2006" xmlns:a14="http://schemas.microsoft.com/office/drawing/2010/main">
      <mc:Choice Requires="a14">
        <xdr:graphicFrame macro="">
          <xdr:nvGraphicFramePr>
            <xdr:cNvPr id="20" name="Attendance_Group">
              <a:extLst>
                <a:ext uri="{FF2B5EF4-FFF2-40B4-BE49-F238E27FC236}">
                  <a16:creationId xmlns:a16="http://schemas.microsoft.com/office/drawing/2014/main" id="{7A74661F-2398-41C9-BE7C-110AA268A816}"/>
                </a:ext>
              </a:extLst>
            </xdr:cNvPr>
            <xdr:cNvGraphicFramePr/>
          </xdr:nvGraphicFramePr>
          <xdr:xfrm>
            <a:off x="0" y="0"/>
            <a:ext cx="0" cy="0"/>
          </xdr:xfrm>
          <a:graphic>
            <a:graphicData uri="http://schemas.microsoft.com/office/drawing/2010/slicer">
              <sle:slicer xmlns:sle="http://schemas.microsoft.com/office/drawing/2010/slicer" name="Attendance_Group"/>
            </a:graphicData>
          </a:graphic>
        </xdr:graphicFrame>
      </mc:Choice>
      <mc:Fallback xmlns="">
        <xdr:sp macro="" textlink="">
          <xdr:nvSpPr>
            <xdr:cNvPr id="0" name=""/>
            <xdr:cNvSpPr>
              <a:spLocks noTextEdit="1"/>
            </xdr:cNvSpPr>
          </xdr:nvSpPr>
          <xdr:spPr>
            <a:xfrm>
              <a:off x="9573376" y="3331264"/>
              <a:ext cx="1848828" cy="1314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55217</xdr:colOff>
      <xdr:row>26</xdr:row>
      <xdr:rowOff>77305</xdr:rowOff>
    </xdr:from>
    <xdr:to>
      <xdr:col>18</xdr:col>
      <xdr:colOff>503622</xdr:colOff>
      <xdr:row>39</xdr:row>
      <xdr:rowOff>3903</xdr:rowOff>
    </xdr:to>
    <xdr:sp macro="" textlink="">
      <xdr:nvSpPr>
        <xdr:cNvPr id="21" name="Rectangle 20">
          <a:extLst>
            <a:ext uri="{FF2B5EF4-FFF2-40B4-BE49-F238E27FC236}">
              <a16:creationId xmlns:a16="http://schemas.microsoft.com/office/drawing/2014/main" id="{ED442606-1A14-48DC-B50E-C8874FF260B8}"/>
            </a:ext>
          </a:extLst>
        </xdr:cNvPr>
        <xdr:cNvSpPr/>
      </xdr:nvSpPr>
      <xdr:spPr>
        <a:xfrm>
          <a:off x="7951304" y="4814957"/>
          <a:ext cx="3485361" cy="2295424"/>
        </a:xfrm>
        <a:prstGeom prst="rect">
          <a:avLst/>
        </a:prstGeom>
        <a:solidFill>
          <a:schemeClr val="bg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buFontTx/>
            <a:buNone/>
          </a:pPr>
          <a:r>
            <a:rPr lang="en-IN" sz="2400" b="1">
              <a:solidFill>
                <a:srgbClr val="404040"/>
              </a:solidFill>
            </a:rPr>
            <a:t>Key Insights</a:t>
          </a:r>
        </a:p>
        <a:p>
          <a:pPr marL="285750" indent="-285750" algn="l">
            <a:buFont typeface="Wingdings" panose="05000000000000000000" pitchFamily="2" charset="2"/>
            <a:buChar char="Ø"/>
          </a:pPr>
          <a:r>
            <a:rPr lang="en-IN" sz="1800">
              <a:solidFill>
                <a:srgbClr val="404040"/>
              </a:solidFill>
            </a:rPr>
            <a:t>  “High attendance leads to better scores”</a:t>
          </a:r>
        </a:p>
        <a:p>
          <a:pPr marL="285750" indent="-285750" algn="l">
            <a:buFont typeface="Wingdings" panose="05000000000000000000" pitchFamily="2" charset="2"/>
            <a:buChar char="Ø"/>
          </a:pPr>
          <a:r>
            <a:rPr lang="en-IN" sz="1800">
              <a:solidFill>
                <a:srgbClr val="404040"/>
              </a:solidFill>
            </a:rPr>
            <a:t> “Most students are in Good category”</a:t>
          </a:r>
        </a:p>
        <a:p>
          <a:pPr marL="285750" indent="-285750" algn="l">
            <a:buFont typeface="Wingdings" panose="05000000000000000000" pitchFamily="2" charset="2"/>
            <a:buChar char="Ø"/>
          </a:pPr>
          <a:r>
            <a:rPr lang="en-IN" sz="1800">
              <a:solidFill>
                <a:srgbClr val="404040"/>
              </a:solidFill>
            </a:rPr>
            <a:t> “Female students slightly outperform males”</a:t>
          </a:r>
          <a:endParaRPr lang="en-IN" sz="1800" b="1">
            <a:solidFill>
              <a:srgbClr val="404040"/>
            </a:solidFill>
          </a:endParaRPr>
        </a:p>
      </xdr:txBody>
    </xdr:sp>
    <xdr:clientData/>
  </xdr:twoCellAnchor>
  <xdr:twoCellAnchor>
    <xdr:from>
      <xdr:col>8</xdr:col>
      <xdr:colOff>9755</xdr:colOff>
      <xdr:row>0</xdr:row>
      <xdr:rowOff>185614</xdr:rowOff>
    </xdr:from>
    <xdr:to>
      <xdr:col>10</xdr:col>
      <xdr:colOff>222185</xdr:colOff>
      <xdr:row>2</xdr:row>
      <xdr:rowOff>98535</xdr:rowOff>
    </xdr:to>
    <xdr:sp macro="" textlink="">
      <xdr:nvSpPr>
        <xdr:cNvPr id="13" name="Rectangle 12">
          <a:extLst>
            <a:ext uri="{FF2B5EF4-FFF2-40B4-BE49-F238E27FC236}">
              <a16:creationId xmlns:a16="http://schemas.microsoft.com/office/drawing/2014/main" id="{753C6082-4C73-4EEF-B6F8-72CA7115AAD5}"/>
            </a:ext>
          </a:extLst>
        </xdr:cNvPr>
        <xdr:cNvSpPr/>
      </xdr:nvSpPr>
      <xdr:spPr>
        <a:xfrm>
          <a:off x="4890539" y="185614"/>
          <a:ext cx="1432626" cy="286450"/>
        </a:xfrm>
        <a:prstGeom prst="rect">
          <a:avLst/>
        </a:prstGeom>
        <a:solidFill>
          <a:srgbClr val="0072B2"/>
        </a:solidFill>
        <a:ln>
          <a:noFill/>
        </a:ln>
        <a:effectLst>
          <a:outerShdw blurRad="44450" dist="27940" dir="5400000" algn="ctr">
            <a:srgbClr val="000000">
              <a:alpha val="32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400" b="1" i="0" u="none" strike="noStrike">
              <a:ln>
                <a:noFill/>
              </a:ln>
              <a:solidFill>
                <a:srgbClr val="F0F2F6"/>
              </a:solidFill>
              <a:effectLst/>
              <a:latin typeface="+mn-lt"/>
              <a:ea typeface="+mn-ea"/>
              <a:cs typeface="+mn-cs"/>
            </a:rPr>
            <a:t>Average Score</a:t>
          </a:r>
          <a:endParaRPr lang="en-IN" sz="1600" b="1">
            <a:ln>
              <a:noFill/>
            </a:ln>
            <a:solidFill>
              <a:srgbClr val="F0F2F6"/>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12</xdr:row>
      <xdr:rowOff>12700</xdr:rowOff>
    </xdr:from>
    <xdr:to>
      <xdr:col>8</xdr:col>
      <xdr:colOff>12700</xdr:colOff>
      <xdr:row>22</xdr:row>
      <xdr:rowOff>69850</xdr:rowOff>
    </xdr:to>
    <xdr:graphicFrame macro="">
      <xdr:nvGraphicFramePr>
        <xdr:cNvPr id="3" name="Chart 2">
          <a:extLst>
            <a:ext uri="{FF2B5EF4-FFF2-40B4-BE49-F238E27FC236}">
              <a16:creationId xmlns:a16="http://schemas.microsoft.com/office/drawing/2014/main" id="{170C1174-DAAA-4174-9718-A167DC559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298450</xdr:colOff>
      <xdr:row>0</xdr:row>
      <xdr:rowOff>158750</xdr:rowOff>
    </xdr:from>
    <xdr:to>
      <xdr:col>8</xdr:col>
      <xdr:colOff>0</xdr:colOff>
      <xdr:row>11</xdr:row>
      <xdr:rowOff>63500</xdr:rowOff>
    </xdr:to>
    <xdr:graphicFrame macro="">
      <xdr:nvGraphicFramePr>
        <xdr:cNvPr id="4" name="Chart 3">
          <a:extLst>
            <a:ext uri="{FF2B5EF4-FFF2-40B4-BE49-F238E27FC236}">
              <a16:creationId xmlns:a16="http://schemas.microsoft.com/office/drawing/2014/main" id="{0988CBBE-944E-4B9D-B8B9-BA44772D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307975</xdr:colOff>
      <xdr:row>0</xdr:row>
      <xdr:rowOff>139700</xdr:rowOff>
    </xdr:from>
    <xdr:to>
      <xdr:col>16</xdr:col>
      <xdr:colOff>3175</xdr:colOff>
      <xdr:row>11</xdr:row>
      <xdr:rowOff>31750</xdr:rowOff>
    </xdr:to>
    <xdr:graphicFrame macro="">
      <xdr:nvGraphicFramePr>
        <xdr:cNvPr id="5" name="Chart 4">
          <a:extLst>
            <a:ext uri="{FF2B5EF4-FFF2-40B4-BE49-F238E27FC236}">
              <a16:creationId xmlns:a16="http://schemas.microsoft.com/office/drawing/2014/main" id="{6F5790C1-D165-461E-B1FB-9D67EDC2D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298450</xdr:colOff>
      <xdr:row>11</xdr:row>
      <xdr:rowOff>171450</xdr:rowOff>
    </xdr:from>
    <xdr:to>
      <xdr:col>15</xdr:col>
      <xdr:colOff>603250</xdr:colOff>
      <xdr:row>22</xdr:row>
      <xdr:rowOff>44450</xdr:rowOff>
    </xdr:to>
    <xdr:graphicFrame macro="">
      <xdr:nvGraphicFramePr>
        <xdr:cNvPr id="6" name="Chart 5">
          <a:extLst>
            <a:ext uri="{FF2B5EF4-FFF2-40B4-BE49-F238E27FC236}">
              <a16:creationId xmlns:a16="http://schemas.microsoft.com/office/drawing/2014/main" id="{CE814FD1-80D8-4113-8F81-34B5B34D5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276224</xdr:colOff>
      <xdr:row>22</xdr:row>
      <xdr:rowOff>177800</xdr:rowOff>
    </xdr:from>
    <xdr:to>
      <xdr:col>15</xdr:col>
      <xdr:colOff>577850</xdr:colOff>
      <xdr:row>30</xdr:row>
      <xdr:rowOff>50800</xdr:rowOff>
    </xdr:to>
    <xdr:graphicFrame macro="">
      <xdr:nvGraphicFramePr>
        <xdr:cNvPr id="7" name="Chart 6">
          <a:extLst>
            <a:ext uri="{FF2B5EF4-FFF2-40B4-BE49-F238E27FC236}">
              <a16:creationId xmlns:a16="http://schemas.microsoft.com/office/drawing/2014/main" id="{9205DD4A-E087-41E4-83EE-267B9FE97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43.581127430552" createdVersion="6" refreshedVersion="6" minRefreshableVersion="3" recordCount="500">
  <cacheSource type="worksheet">
    <worksheetSource ref="B3:U503" sheet="Clean Data"/>
  </cacheSource>
  <cacheFields count="20">
    <cacheField name="Student_ID" numFmtId="0">
      <sharedItems containsSemiMixedTypes="0" containsString="0" containsNumber="1" containsInteger="1" minValue="1" maxValue="500"/>
    </cacheField>
    <cacheField name="Name" numFmtId="0">
      <sharedItems/>
    </cacheField>
    <cacheField name="Gender" numFmtId="0">
      <sharedItems count="2">
        <s v="Male"/>
        <s v="Female"/>
      </sharedItems>
    </cacheField>
    <cacheField name="Study_Hours_Per_Day" numFmtId="0">
      <sharedItems containsSemiMixedTypes="0" containsString="0" containsNumber="1" containsInteger="1" minValue="0" maxValue="6" count="7">
        <n v="3"/>
        <n v="5"/>
        <n v="0"/>
        <n v="4"/>
        <n v="6"/>
        <n v="1"/>
        <n v="2"/>
      </sharedItems>
    </cacheField>
    <cacheField name="Attendance (%)" numFmtId="0">
      <sharedItems containsSemiMixedTypes="0" containsString="0" containsNumber="1" containsInteger="1" minValue="50" maxValue="96"/>
    </cacheField>
    <cacheField name="Assignment_Score" numFmtId="0">
      <sharedItems containsSemiMixedTypes="0" containsString="0" containsNumber="1" containsInteger="1" minValue="0" maxValue="93"/>
    </cacheField>
    <cacheField name="Midterm_Score" numFmtId="0">
      <sharedItems containsSemiMixedTypes="0" containsString="0" containsNumber="1" containsInteger="1" minValue="0" maxValue="94"/>
    </cacheField>
    <cacheField name="Final_Exam_Score" numFmtId="0">
      <sharedItems containsSemiMixedTypes="0" containsString="0" containsNumber="1" containsInteger="1" minValue="55" maxValue="97"/>
    </cacheField>
    <cacheField name="Extra_Activities" numFmtId="0">
      <sharedItems/>
    </cacheField>
    <cacheField name="Sleep_Hours" numFmtId="0">
      <sharedItems containsSemiMixedTypes="0" containsString="0" containsNumber="1" containsInteger="1" minValue="0" maxValue="8"/>
    </cacheField>
    <cacheField name="Internet_Usage (hrs/day)" numFmtId="0">
      <sharedItems containsSemiMixedTypes="0" containsString="0" containsNumber="1" containsInteger="1" minValue="0" maxValue="6"/>
    </cacheField>
    <cacheField name="Total_Score" numFmtId="2">
      <sharedItems containsSemiMixedTypes="0" containsString="0" containsNumber="1" containsInteger="1" minValue="125" maxValue="284"/>
    </cacheField>
    <cacheField name="Average_Score" numFmtId="2">
      <sharedItems containsSemiMixedTypes="0" containsString="0" containsNumber="1" minValue="41.666666666666664" maxValue="94.666666666666671" count="43">
        <n v="76.666666666666671"/>
        <n v="87.666666666666671"/>
        <n v="60"/>
        <n v="82"/>
        <n v="92"/>
        <n v="49.333333333333336"/>
        <n v="84.333333333333329"/>
        <n v="87"/>
        <n v="80"/>
        <n v="93.666666666666671"/>
        <n v="64.333333333333329"/>
        <n v="84"/>
        <n v="77"/>
        <n v="88.333333333333329"/>
        <n v="41.666666666666664"/>
        <n v="91.333333333333329"/>
        <n v="72.333333333333329"/>
        <n v="65"/>
        <n v="75"/>
        <n v="82.333333333333329"/>
        <n v="51"/>
        <n v="89.666666666666671"/>
        <n v="72"/>
        <n v="62.666666666666664"/>
        <n v="84.666666666666671"/>
        <n v="60.333333333333336"/>
        <n v="91"/>
        <n v="74"/>
        <n v="65.666666666666671"/>
        <n v="75.333333333333329"/>
        <n v="83"/>
        <n v="53"/>
        <n v="90.666666666666671"/>
        <n v="94.666666666666671"/>
        <n v="63"/>
        <n v="88.666666666666671"/>
        <n v="60.666666666666664"/>
        <n v="92.666666666666671"/>
        <n v="74.333333333333329"/>
        <n v="78"/>
        <n v="63.666666666666664"/>
        <n v="49"/>
        <n v="65.333333333333329"/>
      </sharedItems>
    </cacheField>
    <cacheField name="Performance" numFmtId="0">
      <sharedItems count="3">
        <s v="Good"/>
        <s v="Excellent"/>
        <s v="Needs Improvement"/>
      </sharedItems>
    </cacheField>
    <cacheField name="Study_Efficiency" numFmtId="2">
      <sharedItems containsSemiMixedTypes="0" containsString="0" containsNumber="1" minValue="0" maxValue="84.333333333333329"/>
    </cacheField>
    <cacheField name="At_Risk" numFmtId="0">
      <sharedItems/>
    </cacheField>
    <cacheField name="Smart_Students" numFmtId="0">
      <sharedItems/>
    </cacheField>
    <cacheField name="Balanced_Student" numFmtId="0">
      <sharedItems/>
    </cacheField>
    <cacheField name="Attendance_Group" numFmtId="0">
      <sharedItems count="3">
        <s v="High"/>
        <s v="Medium"/>
        <s v="Low"/>
      </sharedItems>
    </cacheField>
    <cacheField name="Grade" numFmtId="0">
      <sharedItems/>
    </cacheField>
  </cacheFields>
  <extLst>
    <ext xmlns:x14="http://schemas.microsoft.com/office/spreadsheetml/2009/9/main" uri="{725AE2AE-9491-48be-B2B4-4EB974FC3084}">
      <x14:pivotCacheDefinition pivotCacheId="1915097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Aarav"/>
    <x v="0"/>
    <x v="0"/>
    <n v="85"/>
    <n v="78"/>
    <n v="72"/>
    <n v="80"/>
    <s v="Yes"/>
    <n v="7"/>
    <n v="3"/>
    <n v="230"/>
    <x v="0"/>
    <x v="0"/>
    <n v="25.555555555555557"/>
    <s v="No"/>
    <s v="Normal Students"/>
    <s v="Unbalanced Student"/>
    <x v="0"/>
    <s v="B"/>
  </r>
  <r>
    <n v="2"/>
    <s v="Diya"/>
    <x v="1"/>
    <x v="1"/>
    <n v="92"/>
    <n v="88"/>
    <n v="85"/>
    <n v="90"/>
    <s v="No"/>
    <n v="6"/>
    <n v="2"/>
    <n v="263"/>
    <x v="1"/>
    <x v="1"/>
    <n v="17.533333333333335"/>
    <s v="No"/>
    <s v="Normal Students"/>
    <s v="Balanced Student"/>
    <x v="0"/>
    <s v="A"/>
  </r>
  <r>
    <n v="3"/>
    <s v="Vihaan"/>
    <x v="0"/>
    <x v="2"/>
    <n v="70"/>
    <n v="60"/>
    <n v="58"/>
    <n v="62"/>
    <s v="Yes"/>
    <n v="8"/>
    <n v="5"/>
    <n v="180"/>
    <x v="2"/>
    <x v="0"/>
    <n v="0"/>
    <s v="No"/>
    <s v="Normal Students"/>
    <s v="Unbalanced Student"/>
    <x v="1"/>
    <s v="C"/>
  </r>
  <r>
    <n v="4"/>
    <s v="Ananya"/>
    <x v="1"/>
    <x v="3"/>
    <n v="88"/>
    <n v="82"/>
    <n v="79"/>
    <n v="85"/>
    <s v="Yes"/>
    <n v="7"/>
    <n v="0"/>
    <n v="246"/>
    <x v="3"/>
    <x v="1"/>
    <n v="20.5"/>
    <s v="No"/>
    <s v="Normal Students"/>
    <s v="Balanced Student"/>
    <x v="0"/>
    <s v="A"/>
  </r>
  <r>
    <n v="5"/>
    <s v="Kabir"/>
    <x v="0"/>
    <x v="4"/>
    <n v="95"/>
    <n v="90"/>
    <n v="92"/>
    <n v="94"/>
    <s v="No"/>
    <n v="6"/>
    <n v="2"/>
    <n v="276"/>
    <x v="4"/>
    <x v="1"/>
    <n v="15.333333333333334"/>
    <s v="No"/>
    <s v="Normal Students"/>
    <s v="Balanced Student"/>
    <x v="0"/>
    <s v="A"/>
  </r>
  <r>
    <n v="6"/>
    <s v="Isha"/>
    <x v="1"/>
    <x v="0"/>
    <n v="80"/>
    <n v="0"/>
    <n v="70"/>
    <n v="78"/>
    <s v="Yes"/>
    <n v="7"/>
    <n v="4"/>
    <n v="148"/>
    <x v="5"/>
    <x v="2"/>
    <n v="16.444444444444446"/>
    <s v="No"/>
    <s v="Normal Students"/>
    <s v="Unbalanced Student"/>
    <x v="0"/>
    <s v="F"/>
  </r>
  <r>
    <n v="7"/>
    <s v="Rohan"/>
    <x v="0"/>
    <x v="5"/>
    <n v="65"/>
    <n v="85"/>
    <n v="90"/>
    <n v="78"/>
    <s v="No"/>
    <n v="8"/>
    <n v="6"/>
    <n v="253"/>
    <x v="6"/>
    <x v="1"/>
    <n v="84.333333333333329"/>
    <s v="No"/>
    <s v="Smart Students"/>
    <s v="Unbalanced Student"/>
    <x v="1"/>
    <s v="A"/>
  </r>
  <r>
    <n v="8"/>
    <s v="Meera"/>
    <x v="1"/>
    <x v="1"/>
    <n v="90"/>
    <n v="85"/>
    <n v="87"/>
    <n v="89"/>
    <s v="Yes"/>
    <n v="0"/>
    <n v="2"/>
    <n v="261"/>
    <x v="7"/>
    <x v="1"/>
    <n v="17.399999999999999"/>
    <s v="No"/>
    <s v="Normal Students"/>
    <s v="Unbalanced Student"/>
    <x v="0"/>
    <s v="A"/>
  </r>
  <r>
    <n v="9"/>
    <s v="Arjun"/>
    <x v="0"/>
    <x v="3"/>
    <n v="85"/>
    <n v="80"/>
    <n v="78"/>
    <n v="82"/>
    <s v="Yes"/>
    <n v="7"/>
    <n v="3"/>
    <n v="240"/>
    <x v="8"/>
    <x v="1"/>
    <n v="20"/>
    <s v="No"/>
    <s v="Normal Students"/>
    <s v="Balanced Student"/>
    <x v="0"/>
    <s v="A"/>
  </r>
  <r>
    <n v="10"/>
    <s v="Saanvi"/>
    <x v="1"/>
    <x v="4"/>
    <n v="96"/>
    <n v="92"/>
    <n v="94"/>
    <n v="95"/>
    <s v="No"/>
    <n v="6"/>
    <n v="2"/>
    <n v="281"/>
    <x v="9"/>
    <x v="1"/>
    <n v="15.611111111111112"/>
    <s v="No"/>
    <s v="Normal Students"/>
    <s v="Balanced Student"/>
    <x v="0"/>
    <s v="A"/>
  </r>
  <r>
    <n v="11"/>
    <s v="Aditya"/>
    <x v="0"/>
    <x v="6"/>
    <n v="75"/>
    <n v="65"/>
    <n v="60"/>
    <n v="68"/>
    <s v="Yes"/>
    <n v="7"/>
    <n v="5"/>
    <n v="193"/>
    <x v="10"/>
    <x v="0"/>
    <n v="32.166666666666664"/>
    <s v="No"/>
    <s v="Normal Students"/>
    <s v="Unbalanced Student"/>
    <x v="1"/>
    <s v="C"/>
  </r>
  <r>
    <n v="12"/>
    <s v="Kavya"/>
    <x v="1"/>
    <x v="3"/>
    <n v="88"/>
    <n v="84"/>
    <n v="82"/>
    <n v="86"/>
    <s v="Yes"/>
    <n v="6"/>
    <n v="3"/>
    <n v="252"/>
    <x v="11"/>
    <x v="1"/>
    <n v="21"/>
    <s v="No"/>
    <s v="Normal Students"/>
    <s v="Balanced Student"/>
    <x v="0"/>
    <s v="A"/>
  </r>
  <r>
    <n v="13"/>
    <s v="Raj"/>
    <x v="0"/>
    <x v="0"/>
    <n v="82"/>
    <n v="78"/>
    <n v="74"/>
    <n v="79"/>
    <s v="No"/>
    <n v="7"/>
    <n v="4"/>
    <n v="231"/>
    <x v="12"/>
    <x v="0"/>
    <n v="25.666666666666668"/>
    <s v="No"/>
    <s v="Normal Students"/>
    <s v="Unbalanced Student"/>
    <x v="0"/>
    <s v="B"/>
  </r>
  <r>
    <n v="14"/>
    <s v="Pooja"/>
    <x v="1"/>
    <x v="1"/>
    <n v="91"/>
    <n v="87"/>
    <n v="88"/>
    <n v="90"/>
    <s v="Yes"/>
    <n v="6"/>
    <n v="2"/>
    <n v="265"/>
    <x v="13"/>
    <x v="1"/>
    <n v="17.666666666666664"/>
    <s v="No"/>
    <s v="Normal Students"/>
    <s v="Balanced Student"/>
    <x v="0"/>
    <s v="A"/>
  </r>
  <r>
    <n v="15"/>
    <s v="Manish"/>
    <x v="0"/>
    <x v="6"/>
    <n v="68"/>
    <n v="60"/>
    <n v="0"/>
    <n v="65"/>
    <s v="No"/>
    <n v="8"/>
    <n v="5"/>
    <n v="125"/>
    <x v="14"/>
    <x v="2"/>
    <n v="20.833333333333332"/>
    <s v="Yes"/>
    <s v="Normal Students"/>
    <s v="Unbalanced Student"/>
    <x v="1"/>
    <s v="F"/>
  </r>
  <r>
    <n v="16"/>
    <s v="Neha"/>
    <x v="1"/>
    <x v="3"/>
    <n v="86"/>
    <n v="80"/>
    <n v="82"/>
    <n v="84"/>
    <s v="Yes"/>
    <n v="7"/>
    <n v="3"/>
    <n v="246"/>
    <x v="3"/>
    <x v="1"/>
    <n v="20.5"/>
    <s v="No"/>
    <s v="Normal Students"/>
    <s v="Balanced Student"/>
    <x v="0"/>
    <s v="A"/>
  </r>
  <r>
    <n v="17"/>
    <s v="Vikram"/>
    <x v="0"/>
    <x v="4"/>
    <n v="94"/>
    <n v="91"/>
    <n v="90"/>
    <n v="93"/>
    <s v="No"/>
    <n v="6"/>
    <n v="2"/>
    <n v="274"/>
    <x v="15"/>
    <x v="1"/>
    <n v="15.222222222222221"/>
    <s v="No"/>
    <s v="Normal Students"/>
    <s v="Balanced Student"/>
    <x v="0"/>
    <s v="A"/>
  </r>
  <r>
    <n v="18"/>
    <s v="Simran"/>
    <x v="1"/>
    <x v="0"/>
    <n v="78"/>
    <n v="72"/>
    <n v="70"/>
    <n v="75"/>
    <s v="Yes"/>
    <n v="7"/>
    <n v="4"/>
    <n v="217"/>
    <x v="16"/>
    <x v="0"/>
    <n v="24.111111111111111"/>
    <s v="No"/>
    <s v="Normal Students"/>
    <s v="Unbalanced Student"/>
    <x v="1"/>
    <s v="B"/>
  </r>
  <r>
    <n v="19"/>
    <s v="Karan"/>
    <x v="0"/>
    <x v="6"/>
    <n v="72"/>
    <n v="65"/>
    <n v="63"/>
    <n v="67"/>
    <s v="No"/>
    <n v="8"/>
    <n v="5"/>
    <n v="195"/>
    <x v="17"/>
    <x v="0"/>
    <n v="32.5"/>
    <s v="No"/>
    <s v="Normal Students"/>
    <s v="Unbalanced Student"/>
    <x v="1"/>
    <s v="C"/>
  </r>
  <r>
    <n v="20"/>
    <s v="Riya"/>
    <x v="1"/>
    <x v="1"/>
    <n v="90"/>
    <n v="86"/>
    <n v="88"/>
    <n v="89"/>
    <s v="Yes"/>
    <n v="6"/>
    <n v="2"/>
    <n v="263"/>
    <x v="1"/>
    <x v="1"/>
    <n v="17.533333333333335"/>
    <s v="No"/>
    <s v="Normal Students"/>
    <s v="Balanced Student"/>
    <x v="0"/>
    <s v="A"/>
  </r>
  <r>
    <n v="21"/>
    <s v="Aman"/>
    <x v="0"/>
    <x v="0"/>
    <n v="80"/>
    <n v="75"/>
    <n v="73"/>
    <n v="77"/>
    <s v="Yes"/>
    <n v="7"/>
    <n v="4"/>
    <n v="225"/>
    <x v="18"/>
    <x v="0"/>
    <n v="25"/>
    <s v="No"/>
    <s v="Normal Students"/>
    <s v="Unbalanced Student"/>
    <x v="0"/>
    <s v="B"/>
  </r>
  <r>
    <n v="22"/>
    <s v="Shreya"/>
    <x v="1"/>
    <x v="3"/>
    <n v="87"/>
    <n v="82"/>
    <n v="80"/>
    <n v="85"/>
    <s v="No"/>
    <n v="6"/>
    <n v="3"/>
    <n v="247"/>
    <x v="19"/>
    <x v="1"/>
    <n v="20.583333333333332"/>
    <s v="No"/>
    <s v="Normal Students"/>
    <s v="Balanced Student"/>
    <x v="0"/>
    <s v="A"/>
  </r>
  <r>
    <n v="23"/>
    <s v="Rahul"/>
    <x v="0"/>
    <x v="5"/>
    <n v="60"/>
    <n v="50"/>
    <n v="48"/>
    <n v="55"/>
    <s v="No"/>
    <n v="8"/>
    <n v="6"/>
    <n v="153"/>
    <x v="20"/>
    <x v="2"/>
    <n v="51"/>
    <s v="Yes"/>
    <s v="Normal Students"/>
    <s v="Unbalanced Student"/>
    <x v="1"/>
    <s v="D"/>
  </r>
  <r>
    <n v="24"/>
    <s v="Nisha"/>
    <x v="1"/>
    <x v="1"/>
    <n v="92"/>
    <n v="88"/>
    <n v="90"/>
    <n v="91"/>
    <s v="Yes"/>
    <n v="6"/>
    <n v="2"/>
    <n v="269"/>
    <x v="21"/>
    <x v="1"/>
    <n v="17.933333333333334"/>
    <s v="No"/>
    <s v="Normal Students"/>
    <s v="Balanced Student"/>
    <x v="0"/>
    <s v="A"/>
  </r>
  <r>
    <n v="25"/>
    <s v="Deepak"/>
    <x v="0"/>
    <x v="0"/>
    <n v="78"/>
    <n v="72"/>
    <n v="70"/>
    <n v="74"/>
    <s v="Yes"/>
    <n v="7"/>
    <n v="4"/>
    <n v="216"/>
    <x v="22"/>
    <x v="0"/>
    <n v="24"/>
    <s v="No"/>
    <s v="Normal Students"/>
    <s v="Unbalanced Student"/>
    <x v="1"/>
    <s v="B"/>
  </r>
  <r>
    <n v="26"/>
    <s v="Priya"/>
    <x v="1"/>
    <x v="4"/>
    <n v="95"/>
    <n v="92"/>
    <n v="93"/>
    <n v="96"/>
    <s v="No"/>
    <n v="6"/>
    <n v="2"/>
    <n v="281"/>
    <x v="9"/>
    <x v="1"/>
    <n v="15.611111111111112"/>
    <s v="No"/>
    <s v="Normal Students"/>
    <s v="Balanced Student"/>
    <x v="0"/>
    <s v="A"/>
  </r>
  <r>
    <n v="27"/>
    <s v="Sachin"/>
    <x v="0"/>
    <x v="6"/>
    <n v="50"/>
    <n v="62"/>
    <n v="60"/>
    <n v="66"/>
    <s v="Yes"/>
    <n v="8"/>
    <n v="5"/>
    <n v="188"/>
    <x v="23"/>
    <x v="0"/>
    <n v="31.333333333333332"/>
    <s v="No"/>
    <s v="Normal Students"/>
    <s v="Unbalanced Student"/>
    <x v="2"/>
    <s v="C"/>
  </r>
  <r>
    <n v="28"/>
    <s v="Tanya"/>
    <x v="1"/>
    <x v="3"/>
    <n v="88"/>
    <n v="84"/>
    <n v="83"/>
    <n v="87"/>
    <s v="Yes"/>
    <n v="7"/>
    <n v="3"/>
    <n v="254"/>
    <x v="24"/>
    <x v="1"/>
    <n v="21.166666666666668"/>
    <s v="No"/>
    <s v="Normal Students"/>
    <s v="Balanced Student"/>
    <x v="0"/>
    <s v="A"/>
  </r>
  <r>
    <n v="29"/>
    <s v="Mohit"/>
    <x v="0"/>
    <x v="0"/>
    <n v="82"/>
    <n v="76"/>
    <n v="75"/>
    <n v="80"/>
    <s v="No"/>
    <n v="7"/>
    <n v="4"/>
    <n v="231"/>
    <x v="12"/>
    <x v="0"/>
    <n v="25.666666666666668"/>
    <s v="No"/>
    <s v="Normal Students"/>
    <s v="Unbalanced Student"/>
    <x v="0"/>
    <s v="B"/>
  </r>
  <r>
    <n v="30"/>
    <s v="Alisha"/>
    <x v="1"/>
    <x v="1"/>
    <n v="91"/>
    <n v="87"/>
    <n v="88"/>
    <n v="90"/>
    <s v="Yes"/>
    <n v="6"/>
    <n v="2"/>
    <n v="265"/>
    <x v="13"/>
    <x v="1"/>
    <n v="17.666666666666664"/>
    <s v="No"/>
    <s v="Normal Students"/>
    <s v="Balanced Student"/>
    <x v="0"/>
    <s v="A"/>
  </r>
  <r>
    <n v="31"/>
    <s v="Ravi"/>
    <x v="0"/>
    <x v="6"/>
    <n v="68"/>
    <n v="60"/>
    <n v="58"/>
    <n v="63"/>
    <s v="No"/>
    <n v="8"/>
    <n v="5"/>
    <n v="181"/>
    <x v="25"/>
    <x v="0"/>
    <n v="30.166666666666668"/>
    <s v="No"/>
    <s v="Normal Students"/>
    <s v="Unbalanced Student"/>
    <x v="1"/>
    <s v="C"/>
  </r>
  <r>
    <n v="32"/>
    <s v="Kritika"/>
    <x v="1"/>
    <x v="3"/>
    <n v="85"/>
    <n v="80"/>
    <n v="82"/>
    <n v="84"/>
    <s v="Yes"/>
    <n v="7"/>
    <n v="3"/>
    <n v="246"/>
    <x v="3"/>
    <x v="1"/>
    <n v="20.5"/>
    <s v="No"/>
    <s v="Normal Students"/>
    <s v="Balanced Student"/>
    <x v="0"/>
    <s v="A"/>
  </r>
  <r>
    <n v="33"/>
    <s v="Sunil"/>
    <x v="0"/>
    <x v="4"/>
    <n v="94"/>
    <n v="91"/>
    <n v="90"/>
    <n v="92"/>
    <s v="No"/>
    <n v="6"/>
    <n v="2"/>
    <n v="273"/>
    <x v="26"/>
    <x v="1"/>
    <n v="15.166666666666666"/>
    <s v="No"/>
    <s v="Normal Students"/>
    <s v="Balanced Student"/>
    <x v="0"/>
    <s v="A"/>
  </r>
  <r>
    <n v="34"/>
    <s v="Payal"/>
    <x v="1"/>
    <x v="0"/>
    <n v="79"/>
    <n v="74"/>
    <n v="72"/>
    <n v="76"/>
    <s v="Yes"/>
    <n v="7"/>
    <n v="4"/>
    <n v="222"/>
    <x v="27"/>
    <x v="0"/>
    <n v="24.666666666666668"/>
    <s v="No"/>
    <s v="Normal Students"/>
    <s v="Unbalanced Student"/>
    <x v="1"/>
    <s v="B"/>
  </r>
  <r>
    <n v="35"/>
    <s v="Ajay"/>
    <x v="0"/>
    <x v="6"/>
    <n v="72"/>
    <n v="65"/>
    <n v="64"/>
    <n v="68"/>
    <s v="No"/>
    <n v="8"/>
    <n v="5"/>
    <n v="197"/>
    <x v="28"/>
    <x v="0"/>
    <n v="32.833333333333336"/>
    <s v="No"/>
    <s v="Normal Students"/>
    <s v="Unbalanced Student"/>
    <x v="1"/>
    <s v="C"/>
  </r>
  <r>
    <n v="36"/>
    <s v="Sneha"/>
    <x v="1"/>
    <x v="1"/>
    <n v="90"/>
    <n v="86"/>
    <n v="88"/>
    <n v="89"/>
    <s v="Yes"/>
    <n v="6"/>
    <n v="2"/>
    <n v="263"/>
    <x v="1"/>
    <x v="1"/>
    <n v="17.533333333333335"/>
    <s v="No"/>
    <s v="Normal Students"/>
    <s v="Balanced Student"/>
    <x v="0"/>
    <s v="A"/>
  </r>
  <r>
    <n v="37"/>
    <s v="Nitin"/>
    <x v="0"/>
    <x v="0"/>
    <n v="80"/>
    <n v="75"/>
    <n v="73"/>
    <n v="78"/>
    <s v="Yes"/>
    <n v="7"/>
    <n v="4"/>
    <n v="226"/>
    <x v="29"/>
    <x v="0"/>
    <n v="25.111111111111111"/>
    <s v="No"/>
    <s v="Normal Students"/>
    <s v="Unbalanced Student"/>
    <x v="0"/>
    <s v="B"/>
  </r>
  <r>
    <n v="38"/>
    <s v="Divya"/>
    <x v="1"/>
    <x v="3"/>
    <n v="87"/>
    <n v="83"/>
    <n v="81"/>
    <n v="85"/>
    <s v="No"/>
    <n v="6"/>
    <n v="3"/>
    <n v="249"/>
    <x v="30"/>
    <x v="1"/>
    <n v="20.75"/>
    <s v="No"/>
    <s v="Normal Students"/>
    <s v="Balanced Student"/>
    <x v="0"/>
    <s v="A"/>
  </r>
  <r>
    <n v="39"/>
    <s v="Varun"/>
    <x v="0"/>
    <x v="5"/>
    <n v="62"/>
    <n v="52"/>
    <n v="50"/>
    <n v="57"/>
    <s v="No"/>
    <n v="8"/>
    <n v="6"/>
    <n v="159"/>
    <x v="31"/>
    <x v="2"/>
    <n v="53"/>
    <s v="Yes"/>
    <s v="Normal Students"/>
    <s v="Unbalanced Student"/>
    <x v="1"/>
    <s v="D"/>
  </r>
  <r>
    <n v="40"/>
    <s v="Rekha"/>
    <x v="1"/>
    <x v="1"/>
    <n v="92"/>
    <n v="89"/>
    <n v="90"/>
    <n v="93"/>
    <s v="Yes"/>
    <n v="6"/>
    <n v="2"/>
    <n v="272"/>
    <x v="32"/>
    <x v="1"/>
    <n v="18.133333333333333"/>
    <s v="No"/>
    <s v="Normal Students"/>
    <s v="Balanced Student"/>
    <x v="0"/>
    <s v="A"/>
  </r>
  <r>
    <n v="41"/>
    <s v="Harsh"/>
    <x v="0"/>
    <x v="0"/>
    <n v="78"/>
    <n v="72"/>
    <n v="70"/>
    <n v="75"/>
    <s v="Yes"/>
    <n v="7"/>
    <n v="4"/>
    <n v="217"/>
    <x v="16"/>
    <x v="0"/>
    <n v="24.111111111111111"/>
    <s v="No"/>
    <s v="Normal Students"/>
    <s v="Unbalanced Student"/>
    <x v="1"/>
    <s v="B"/>
  </r>
  <r>
    <n v="42"/>
    <s v="Aisha"/>
    <x v="1"/>
    <x v="4"/>
    <n v="96"/>
    <n v="93"/>
    <n v="94"/>
    <n v="97"/>
    <s v="No"/>
    <n v="6"/>
    <n v="2"/>
    <n v="284"/>
    <x v="33"/>
    <x v="1"/>
    <n v="15.777777777777779"/>
    <s v="No"/>
    <s v="Normal Students"/>
    <s v="Balanced Student"/>
    <x v="0"/>
    <s v="A"/>
  </r>
  <r>
    <n v="43"/>
    <s v="Imran"/>
    <x v="0"/>
    <x v="6"/>
    <n v="70"/>
    <n v="63"/>
    <n v="60"/>
    <n v="66"/>
    <s v="Yes"/>
    <n v="8"/>
    <n v="5"/>
    <n v="189"/>
    <x v="34"/>
    <x v="0"/>
    <n v="31.5"/>
    <s v="No"/>
    <s v="Normal Students"/>
    <s v="Unbalanced Student"/>
    <x v="1"/>
    <s v="C"/>
  </r>
  <r>
    <n v="44"/>
    <s v="Komal"/>
    <x v="1"/>
    <x v="3"/>
    <n v="88"/>
    <n v="84"/>
    <n v="83"/>
    <n v="86"/>
    <s v="Yes"/>
    <n v="7"/>
    <n v="3"/>
    <n v="253"/>
    <x v="6"/>
    <x v="1"/>
    <n v="21.083333333333332"/>
    <s v="No"/>
    <s v="Normal Students"/>
    <s v="Balanced Student"/>
    <x v="0"/>
    <s v="A"/>
  </r>
  <r>
    <n v="45"/>
    <s v="Yash"/>
    <x v="0"/>
    <x v="0"/>
    <n v="82"/>
    <n v="76"/>
    <n v="75"/>
    <n v="79"/>
    <s v="No"/>
    <n v="7"/>
    <n v="4"/>
    <n v="230"/>
    <x v="0"/>
    <x v="0"/>
    <n v="25.555555555555557"/>
    <s v="No"/>
    <s v="Normal Students"/>
    <s v="Unbalanced Student"/>
    <x v="0"/>
    <s v="B"/>
  </r>
  <r>
    <n v="46"/>
    <s v="Saloni"/>
    <x v="1"/>
    <x v="1"/>
    <n v="91"/>
    <n v="87"/>
    <n v="89"/>
    <n v="90"/>
    <s v="Yes"/>
    <n v="6"/>
    <n v="2"/>
    <n v="266"/>
    <x v="35"/>
    <x v="1"/>
    <n v="17.733333333333334"/>
    <s v="No"/>
    <s v="Normal Students"/>
    <s v="Balanced Student"/>
    <x v="0"/>
    <s v="A"/>
  </r>
  <r>
    <n v="47"/>
    <s v="Dev"/>
    <x v="0"/>
    <x v="6"/>
    <n v="68"/>
    <n v="60"/>
    <n v="58"/>
    <n v="64"/>
    <s v="No"/>
    <n v="8"/>
    <n v="5"/>
    <n v="182"/>
    <x v="36"/>
    <x v="0"/>
    <n v="30.333333333333332"/>
    <s v="No"/>
    <s v="Normal Students"/>
    <s v="Unbalanced Student"/>
    <x v="1"/>
    <s v="C"/>
  </r>
  <r>
    <n v="48"/>
    <s v="Ritu"/>
    <x v="1"/>
    <x v="3"/>
    <n v="85"/>
    <n v="81"/>
    <n v="82"/>
    <n v="84"/>
    <s v="Yes"/>
    <n v="7"/>
    <n v="3"/>
    <n v="247"/>
    <x v="19"/>
    <x v="1"/>
    <n v="20.583333333333332"/>
    <s v="No"/>
    <s v="Normal Students"/>
    <s v="Balanced Student"/>
    <x v="0"/>
    <s v="A"/>
  </r>
  <r>
    <n v="49"/>
    <s v="Kunal"/>
    <x v="0"/>
    <x v="4"/>
    <n v="94"/>
    <n v="92"/>
    <n v="91"/>
    <n v="95"/>
    <s v="No"/>
    <n v="6"/>
    <n v="2"/>
    <n v="278"/>
    <x v="37"/>
    <x v="1"/>
    <n v="15.444444444444445"/>
    <s v="No"/>
    <s v="Normal Students"/>
    <s v="Balanced Student"/>
    <x v="0"/>
    <s v="A"/>
  </r>
  <r>
    <n v="50"/>
    <s v="Pallavi"/>
    <x v="1"/>
    <x v="0"/>
    <n v="79"/>
    <n v="74"/>
    <n v="72"/>
    <n v="77"/>
    <s v="Yes"/>
    <n v="7"/>
    <n v="4"/>
    <n v="223"/>
    <x v="38"/>
    <x v="0"/>
    <n v="24.777777777777775"/>
    <s v="No"/>
    <s v="Normal Students"/>
    <s v="Unbalanced Student"/>
    <x v="1"/>
    <s v="B"/>
  </r>
  <r>
    <n v="51"/>
    <s v="rahul"/>
    <x v="0"/>
    <x v="0"/>
    <n v="85"/>
    <n v="78"/>
    <n v="72"/>
    <n v="80"/>
    <s v="Yes"/>
    <n v="7"/>
    <n v="3"/>
    <n v="230"/>
    <x v="0"/>
    <x v="0"/>
    <n v="25.555555555555557"/>
    <s v="No"/>
    <s v="Normal Students"/>
    <s v="Unbalanced Student"/>
    <x v="0"/>
    <s v="B"/>
  </r>
  <r>
    <n v="52"/>
    <s v="ANANYA"/>
    <x v="1"/>
    <x v="3"/>
    <n v="88"/>
    <n v="82"/>
    <n v="79"/>
    <n v="85"/>
    <s v="Yes"/>
    <n v="7"/>
    <n v="3"/>
    <n v="246"/>
    <x v="3"/>
    <x v="1"/>
    <n v="20.5"/>
    <s v="No"/>
    <s v="Normal Students"/>
    <s v="Balanced Student"/>
    <x v="0"/>
    <s v="A"/>
  </r>
  <r>
    <n v="53"/>
    <s v="Unknown"/>
    <x v="1"/>
    <x v="1"/>
    <n v="90"/>
    <n v="85"/>
    <n v="87"/>
    <n v="89"/>
    <s v="Yes"/>
    <n v="6"/>
    <n v="2"/>
    <n v="261"/>
    <x v="7"/>
    <x v="1"/>
    <n v="17.399999999999999"/>
    <s v="No"/>
    <s v="Normal Students"/>
    <s v="Balanced Student"/>
    <x v="0"/>
    <s v="A"/>
  </r>
  <r>
    <n v="54"/>
    <s v="Rohit"/>
    <x v="0"/>
    <x v="3"/>
    <n v="88"/>
    <n v="82"/>
    <n v="80"/>
    <n v="85"/>
    <s v="Yes"/>
    <n v="7"/>
    <n v="3"/>
    <n v="247"/>
    <x v="19"/>
    <x v="1"/>
    <n v="20.583333333333332"/>
    <s v="No"/>
    <s v="Normal Students"/>
    <s v="Balanced Student"/>
    <x v="0"/>
    <s v="A"/>
  </r>
  <r>
    <n v="55"/>
    <s v="Ankit"/>
    <x v="0"/>
    <x v="6"/>
    <n v="75"/>
    <n v="65"/>
    <n v="60"/>
    <n v="68"/>
    <s v="No"/>
    <n v="8"/>
    <n v="5"/>
    <n v="193"/>
    <x v="10"/>
    <x v="0"/>
    <n v="32.166666666666664"/>
    <s v="No"/>
    <s v="Normal Students"/>
    <s v="Unbalanced Student"/>
    <x v="1"/>
    <s v="C"/>
  </r>
  <r>
    <n v="56"/>
    <s v="Neeraj"/>
    <x v="0"/>
    <x v="0"/>
    <n v="80"/>
    <n v="75"/>
    <n v="72"/>
    <n v="78"/>
    <s v="Yes"/>
    <n v="7"/>
    <n v="4"/>
    <n v="225"/>
    <x v="18"/>
    <x v="0"/>
    <n v="25"/>
    <s v="No"/>
    <s v="Normal Students"/>
    <s v="Unbalanced Student"/>
    <x v="0"/>
    <s v="B"/>
  </r>
  <r>
    <n v="57"/>
    <s v="Payal"/>
    <x v="1"/>
    <x v="1"/>
    <n v="90"/>
    <n v="86"/>
    <n v="88"/>
    <n v="91"/>
    <s v="Yes"/>
    <n v="6"/>
    <n v="2"/>
    <n v="265"/>
    <x v="13"/>
    <x v="1"/>
    <n v="17.666666666666664"/>
    <s v="No"/>
    <s v="Normal Students"/>
    <s v="Balanced Student"/>
    <x v="0"/>
    <s v="A"/>
  </r>
  <r>
    <n v="58"/>
    <s v="Sakshi"/>
    <x v="1"/>
    <x v="3"/>
    <n v="85"/>
    <n v="80"/>
    <n v="82"/>
    <n v="84"/>
    <s v="Yes"/>
    <n v="7"/>
    <n v="3"/>
    <n v="246"/>
    <x v="3"/>
    <x v="1"/>
    <n v="20.5"/>
    <s v="No"/>
    <s v="Normal Students"/>
    <s v="Balanced Student"/>
    <x v="0"/>
    <s v="A"/>
  </r>
  <r>
    <n v="59"/>
    <s v="Amit"/>
    <x v="0"/>
    <x v="5"/>
    <n v="60"/>
    <n v="50"/>
    <n v="48"/>
    <n v="55"/>
    <s v="No"/>
    <n v="8"/>
    <n v="6"/>
    <n v="153"/>
    <x v="20"/>
    <x v="2"/>
    <n v="51"/>
    <s v="Yes"/>
    <s v="Normal Students"/>
    <s v="Unbalanced Student"/>
    <x v="1"/>
    <s v="D"/>
  </r>
  <r>
    <n v="60"/>
    <s v="Ritu"/>
    <x v="1"/>
    <x v="4"/>
    <n v="95"/>
    <n v="92"/>
    <n v="93"/>
    <n v="96"/>
    <s v="No"/>
    <n v="6"/>
    <n v="2"/>
    <n v="281"/>
    <x v="9"/>
    <x v="1"/>
    <n v="15.611111111111112"/>
    <s v="No"/>
    <s v="Normal Students"/>
    <s v="Balanced Student"/>
    <x v="0"/>
    <s v="A"/>
  </r>
  <r>
    <n v="61"/>
    <s v="Kiran"/>
    <x v="1"/>
    <x v="0"/>
    <n v="78"/>
    <n v="72"/>
    <n v="70"/>
    <n v="75"/>
    <s v="Yes"/>
    <n v="7"/>
    <n v="4"/>
    <n v="217"/>
    <x v="16"/>
    <x v="0"/>
    <n v="24.111111111111111"/>
    <s v="No"/>
    <s v="Normal Students"/>
    <s v="Unbalanced Student"/>
    <x v="1"/>
    <s v="B"/>
  </r>
  <r>
    <n v="62"/>
    <s v="Varsha"/>
    <x v="1"/>
    <x v="2"/>
    <n v="82"/>
    <n v="78"/>
    <n v="76"/>
    <n v="80"/>
    <s v="Yes"/>
    <n v="7"/>
    <n v="3"/>
    <n v="234"/>
    <x v="39"/>
    <x v="0"/>
    <n v="0"/>
    <s v="No"/>
    <s v="Normal Students"/>
    <s v="Unbalanced Student"/>
    <x v="0"/>
    <s v="B"/>
  </r>
  <r>
    <n v="63"/>
    <s v="Deep"/>
    <x v="0"/>
    <x v="6"/>
    <n v="70"/>
    <n v="65"/>
    <n v="60"/>
    <n v="66"/>
    <s v="No"/>
    <n v="8"/>
    <n v="5"/>
    <n v="191"/>
    <x v="40"/>
    <x v="0"/>
    <n v="31.833333333333332"/>
    <s v="No"/>
    <s v="Normal Students"/>
    <s v="Unbalanced Student"/>
    <x v="1"/>
    <s v="C"/>
  </r>
  <r>
    <n v="64"/>
    <s v="Ajit"/>
    <x v="0"/>
    <x v="0"/>
    <n v="79"/>
    <n v="74"/>
    <n v="72"/>
    <n v="77"/>
    <s v="Yes"/>
    <n v="7"/>
    <n v="0"/>
    <n v="223"/>
    <x v="38"/>
    <x v="0"/>
    <n v="24.777777777777775"/>
    <s v="No"/>
    <s v="Normal Students"/>
    <s v="Unbalanced Student"/>
    <x v="1"/>
    <s v="B"/>
  </r>
  <r>
    <n v="65"/>
    <s v="Poonam"/>
    <x v="1"/>
    <x v="1"/>
    <n v="91"/>
    <n v="87"/>
    <n v="88"/>
    <n v="90"/>
    <s v="Yes"/>
    <n v="6"/>
    <n v="2"/>
    <n v="265"/>
    <x v="13"/>
    <x v="1"/>
    <n v="17.666666666666664"/>
    <s v="No"/>
    <s v="Normal Students"/>
    <s v="Balanced Student"/>
    <x v="0"/>
    <s v="A"/>
  </r>
  <r>
    <n v="66"/>
    <s v="Arvind"/>
    <x v="0"/>
    <x v="3"/>
    <n v="86"/>
    <n v="82"/>
    <n v="80"/>
    <n v="84"/>
    <s v="No"/>
    <n v="7"/>
    <n v="3"/>
    <n v="246"/>
    <x v="3"/>
    <x v="1"/>
    <n v="20.5"/>
    <s v="No"/>
    <s v="Normal Students"/>
    <s v="Balanced Student"/>
    <x v="0"/>
    <s v="A"/>
  </r>
  <r>
    <n v="67"/>
    <s v="Komal"/>
    <x v="1"/>
    <x v="0"/>
    <n v="78"/>
    <n v="72"/>
    <n v="0"/>
    <n v="75"/>
    <s v="Yes"/>
    <n v="7"/>
    <n v="4"/>
    <n v="147"/>
    <x v="41"/>
    <x v="2"/>
    <n v="16.333333333333332"/>
    <s v="No"/>
    <s v="Normal Students"/>
    <s v="Unbalanced Student"/>
    <x v="1"/>
    <s v="F"/>
  </r>
  <r>
    <n v="68"/>
    <s v="Yogesh"/>
    <x v="0"/>
    <x v="4"/>
    <n v="94"/>
    <n v="91"/>
    <n v="90"/>
    <n v="93"/>
    <s v="No"/>
    <n v="6"/>
    <n v="2"/>
    <n v="274"/>
    <x v="15"/>
    <x v="1"/>
    <n v="15.222222222222221"/>
    <s v="No"/>
    <s v="Normal Students"/>
    <s v="Balanced Student"/>
    <x v="0"/>
    <s v="A"/>
  </r>
  <r>
    <n v="69"/>
    <s v="Sonal"/>
    <x v="1"/>
    <x v="6"/>
    <n v="72"/>
    <n v="65"/>
    <n v="63"/>
    <n v="68"/>
    <s v="Yes"/>
    <n v="8"/>
    <n v="5"/>
    <n v="196"/>
    <x v="42"/>
    <x v="0"/>
    <n v="32.666666666666664"/>
    <s v="No"/>
    <s v="Normal Students"/>
    <s v="Unbalanced Student"/>
    <x v="1"/>
    <s v="C"/>
  </r>
  <r>
    <n v="70"/>
    <s v="Anu"/>
    <x v="1"/>
    <x v="1"/>
    <n v="90"/>
    <n v="85"/>
    <n v="87"/>
    <n v="89"/>
    <s v="Yes"/>
    <n v="6"/>
    <n v="2"/>
    <n v="261"/>
    <x v="7"/>
    <x v="1"/>
    <n v="17.399999999999999"/>
    <s v="No"/>
    <s v="Normal Students"/>
    <s v="Balanced Student"/>
    <x v="0"/>
    <s v="A"/>
  </r>
  <r>
    <n v="71"/>
    <s v="Ramesh"/>
    <x v="0"/>
    <x v="0"/>
    <n v="80"/>
    <n v="75"/>
    <n v="73"/>
    <n v="78"/>
    <s v="No"/>
    <n v="7"/>
    <n v="4"/>
    <n v="226"/>
    <x v="29"/>
    <x v="0"/>
    <n v="25.111111111111111"/>
    <s v="No"/>
    <s v="Normal Students"/>
    <s v="Unbalanced Student"/>
    <x v="0"/>
    <s v="B"/>
  </r>
  <r>
    <n v="72"/>
    <s v="Geeta"/>
    <x v="1"/>
    <x v="3"/>
    <n v="88"/>
    <n v="84"/>
    <n v="82"/>
    <n v="86"/>
    <s v="Yes"/>
    <n v="7"/>
    <n v="3"/>
    <n v="252"/>
    <x v="11"/>
    <x v="1"/>
    <n v="21"/>
    <s v="No"/>
    <s v="Normal Students"/>
    <s v="Balanced Student"/>
    <x v="0"/>
    <s v="A"/>
  </r>
  <r>
    <n v="73"/>
    <s v="Suresh"/>
    <x v="0"/>
    <x v="6"/>
    <n v="68"/>
    <n v="60"/>
    <n v="58"/>
    <n v="64"/>
    <s v="No"/>
    <n v="8"/>
    <n v="5"/>
    <n v="182"/>
    <x v="36"/>
    <x v="0"/>
    <n v="30.333333333333332"/>
    <s v="No"/>
    <s v="Normal Students"/>
    <s v="Unbalanced Student"/>
    <x v="1"/>
    <s v="C"/>
  </r>
  <r>
    <n v="74"/>
    <s v="Lata"/>
    <x v="1"/>
    <x v="1"/>
    <n v="92"/>
    <n v="89"/>
    <n v="90"/>
    <n v="93"/>
    <s v="Yes"/>
    <n v="6"/>
    <n v="2"/>
    <n v="272"/>
    <x v="32"/>
    <x v="1"/>
    <n v="18.133333333333333"/>
    <s v="No"/>
    <s v="Normal Students"/>
    <s v="Balanced Student"/>
    <x v="0"/>
    <s v="A"/>
  </r>
  <r>
    <n v="75"/>
    <s v="Kishor"/>
    <x v="0"/>
    <x v="5"/>
    <n v="62"/>
    <n v="52"/>
    <n v="50"/>
    <n v="57"/>
    <s v="No"/>
    <n v="8"/>
    <n v="6"/>
    <n v="159"/>
    <x v="31"/>
    <x v="2"/>
    <n v="53"/>
    <s v="Yes"/>
    <s v="Normal Students"/>
    <s v="Unbalanced Student"/>
    <x v="1"/>
    <s v="D"/>
  </r>
  <r>
    <n v="76"/>
    <s v="Madhu"/>
    <x v="1"/>
    <x v="4"/>
    <n v="96"/>
    <n v="93"/>
    <n v="94"/>
    <n v="97"/>
    <s v="No"/>
    <n v="6"/>
    <n v="2"/>
    <n v="284"/>
    <x v="33"/>
    <x v="1"/>
    <n v="15.777777777777779"/>
    <s v="No"/>
    <s v="Normal Students"/>
    <s v="Balanced Student"/>
    <x v="0"/>
    <s v="A"/>
  </r>
  <r>
    <n v="77"/>
    <s v="Sunita"/>
    <x v="1"/>
    <x v="0"/>
    <n v="79"/>
    <n v="74"/>
    <n v="72"/>
    <n v="76"/>
    <s v="Yes"/>
    <n v="7"/>
    <n v="4"/>
    <n v="222"/>
    <x v="27"/>
    <x v="0"/>
    <n v="24.666666666666668"/>
    <s v="No"/>
    <s v="Normal Students"/>
    <s v="Unbalanced Student"/>
    <x v="1"/>
    <s v="B"/>
  </r>
  <r>
    <n v="78"/>
    <s v="Prakash"/>
    <x v="0"/>
    <x v="6"/>
    <n v="70"/>
    <n v="63"/>
    <n v="60"/>
    <n v="66"/>
    <s v="Yes"/>
    <n v="8"/>
    <n v="5"/>
    <n v="189"/>
    <x v="34"/>
    <x v="0"/>
    <n v="31.5"/>
    <s v="No"/>
    <s v="Normal Students"/>
    <s v="Unbalanced Student"/>
    <x v="1"/>
    <s v="C"/>
  </r>
  <r>
    <n v="79"/>
    <s v="Reena"/>
    <x v="1"/>
    <x v="3"/>
    <n v="87"/>
    <n v="83"/>
    <n v="81"/>
    <n v="85"/>
    <s v="No"/>
    <n v="6"/>
    <n v="3"/>
    <n v="249"/>
    <x v="30"/>
    <x v="1"/>
    <n v="20.75"/>
    <s v="No"/>
    <s v="Normal Students"/>
    <s v="Balanced Student"/>
    <x v="0"/>
    <s v="A"/>
  </r>
  <r>
    <n v="80"/>
    <s v="Ashok"/>
    <x v="0"/>
    <x v="0"/>
    <n v="82"/>
    <n v="76"/>
    <n v="75"/>
    <n v="79"/>
    <s v="No"/>
    <n v="7"/>
    <n v="4"/>
    <n v="230"/>
    <x v="0"/>
    <x v="0"/>
    <n v="25.555555555555557"/>
    <s v="No"/>
    <s v="Normal Students"/>
    <s v="Unbalanced Student"/>
    <x v="0"/>
    <s v="B"/>
  </r>
  <r>
    <n v="81"/>
    <s v="Kajal"/>
    <x v="1"/>
    <x v="1"/>
    <n v="91"/>
    <n v="87"/>
    <n v="89"/>
    <n v="90"/>
    <s v="Yes"/>
    <n v="6"/>
    <n v="2"/>
    <n v="266"/>
    <x v="35"/>
    <x v="1"/>
    <n v="17.733333333333334"/>
    <s v="No"/>
    <s v="Normal Students"/>
    <s v="Balanced Student"/>
    <x v="0"/>
    <s v="A"/>
  </r>
  <r>
    <n v="82"/>
    <s v="Manoj"/>
    <x v="0"/>
    <x v="6"/>
    <n v="68"/>
    <n v="60"/>
    <n v="58"/>
    <n v="63"/>
    <s v="No"/>
    <n v="8"/>
    <n v="5"/>
    <n v="181"/>
    <x v="25"/>
    <x v="0"/>
    <n v="30.166666666666668"/>
    <s v="No"/>
    <s v="Normal Students"/>
    <s v="Unbalanced Student"/>
    <x v="1"/>
    <s v="C"/>
  </r>
  <r>
    <n v="83"/>
    <s v="Tarun"/>
    <x v="0"/>
    <x v="4"/>
    <n v="94"/>
    <n v="92"/>
    <n v="91"/>
    <n v="95"/>
    <s v="No"/>
    <n v="6"/>
    <n v="2"/>
    <n v="278"/>
    <x v="37"/>
    <x v="1"/>
    <n v="15.444444444444445"/>
    <s v="No"/>
    <s v="Normal Students"/>
    <s v="Balanced Student"/>
    <x v="0"/>
    <s v="A"/>
  </r>
  <r>
    <n v="84"/>
    <s v="Seema"/>
    <x v="1"/>
    <x v="0"/>
    <n v="78"/>
    <n v="72"/>
    <n v="70"/>
    <n v="75"/>
    <s v="Yes"/>
    <n v="7"/>
    <n v="4"/>
    <n v="217"/>
    <x v="16"/>
    <x v="0"/>
    <n v="24.111111111111111"/>
    <s v="No"/>
    <s v="Normal Students"/>
    <s v="Unbalanced Student"/>
    <x v="1"/>
    <s v="B"/>
  </r>
  <r>
    <n v="85"/>
    <s v="Gaurav"/>
    <x v="0"/>
    <x v="3"/>
    <n v="85"/>
    <n v="80"/>
    <n v="82"/>
    <n v="84"/>
    <s v="Yes"/>
    <n v="7"/>
    <n v="3"/>
    <n v="246"/>
    <x v="3"/>
    <x v="1"/>
    <n v="20.5"/>
    <s v="No"/>
    <s v="Normal Students"/>
    <s v="Balanced Student"/>
    <x v="0"/>
    <s v="A"/>
  </r>
  <r>
    <n v="86"/>
    <s v="Nikita"/>
    <x v="1"/>
    <x v="1"/>
    <n v="90"/>
    <n v="86"/>
    <n v="88"/>
    <n v="89"/>
    <s v="Yes"/>
    <n v="6"/>
    <n v="2"/>
    <n v="263"/>
    <x v="1"/>
    <x v="1"/>
    <n v="17.533333333333335"/>
    <s v="No"/>
    <s v="Normal Students"/>
    <s v="Balanced Student"/>
    <x v="0"/>
    <s v="A"/>
  </r>
  <r>
    <n v="87"/>
    <s v="Rajesh"/>
    <x v="0"/>
    <x v="6"/>
    <n v="70"/>
    <n v="62"/>
    <n v="60"/>
    <n v="66"/>
    <s v="No"/>
    <n v="8"/>
    <n v="5"/>
    <n v="188"/>
    <x v="23"/>
    <x v="0"/>
    <n v="31.333333333333332"/>
    <s v="No"/>
    <s v="Normal Students"/>
    <s v="Unbalanced Student"/>
    <x v="1"/>
    <s v="C"/>
  </r>
  <r>
    <n v="88"/>
    <s v="Anjali"/>
    <x v="1"/>
    <x v="3"/>
    <n v="88"/>
    <n v="84"/>
    <n v="83"/>
    <n v="86"/>
    <s v="Yes"/>
    <n v="7"/>
    <n v="3"/>
    <n v="253"/>
    <x v="6"/>
    <x v="1"/>
    <n v="21.083333333333332"/>
    <s v="No"/>
    <s v="Normal Students"/>
    <s v="Balanced Student"/>
    <x v="0"/>
    <s v="A"/>
  </r>
  <r>
    <n v="89"/>
    <s v="Vinay"/>
    <x v="0"/>
    <x v="0"/>
    <n v="82"/>
    <n v="76"/>
    <n v="75"/>
    <n v="80"/>
    <s v="No"/>
    <n v="7"/>
    <n v="4"/>
    <n v="231"/>
    <x v="12"/>
    <x v="0"/>
    <n v="25.666666666666668"/>
    <s v="No"/>
    <s v="Normal Students"/>
    <s v="Unbalanced Student"/>
    <x v="0"/>
    <s v="B"/>
  </r>
  <r>
    <n v="90"/>
    <s v="Sarita"/>
    <x v="1"/>
    <x v="1"/>
    <n v="91"/>
    <n v="87"/>
    <n v="88"/>
    <n v="90"/>
    <s v="Yes"/>
    <n v="6"/>
    <n v="2"/>
    <n v="265"/>
    <x v="13"/>
    <x v="1"/>
    <n v="17.666666666666664"/>
    <s v="No"/>
    <s v="Normal Students"/>
    <s v="Balanced Student"/>
    <x v="0"/>
    <s v="A"/>
  </r>
  <r>
    <n v="91"/>
    <s v="Devendra"/>
    <x v="0"/>
    <x v="6"/>
    <n v="68"/>
    <n v="60"/>
    <n v="58"/>
    <n v="64"/>
    <s v="No"/>
    <n v="8"/>
    <n v="5"/>
    <n v="182"/>
    <x v="36"/>
    <x v="0"/>
    <n v="30.333333333333332"/>
    <s v="No"/>
    <s v="Normal Students"/>
    <s v="Unbalanced Student"/>
    <x v="1"/>
    <s v="C"/>
  </r>
  <r>
    <n v="92"/>
    <s v="Kavita"/>
    <x v="1"/>
    <x v="3"/>
    <n v="85"/>
    <n v="81"/>
    <n v="82"/>
    <n v="84"/>
    <s v="Yes"/>
    <n v="7"/>
    <n v="3"/>
    <n v="247"/>
    <x v="19"/>
    <x v="1"/>
    <n v="20.583333333333332"/>
    <s v="No"/>
    <s v="Normal Students"/>
    <s v="Balanced Student"/>
    <x v="0"/>
    <s v="A"/>
  </r>
  <r>
    <n v="93"/>
    <s v="Mukesh"/>
    <x v="0"/>
    <x v="4"/>
    <n v="94"/>
    <n v="91"/>
    <n v="90"/>
    <n v="92"/>
    <s v="No"/>
    <n v="6"/>
    <n v="2"/>
    <n v="273"/>
    <x v="26"/>
    <x v="1"/>
    <n v="15.166666666666666"/>
    <s v="No"/>
    <s v="Normal Students"/>
    <s v="Balanced Student"/>
    <x v="0"/>
    <s v="A"/>
  </r>
  <r>
    <n v="94"/>
    <s v="Radha"/>
    <x v="1"/>
    <x v="0"/>
    <n v="79"/>
    <n v="74"/>
    <n v="72"/>
    <n v="77"/>
    <s v="Yes"/>
    <n v="7"/>
    <n v="4"/>
    <n v="223"/>
    <x v="38"/>
    <x v="0"/>
    <n v="24.777777777777775"/>
    <s v="No"/>
    <s v="Normal Students"/>
    <s v="Unbalanced Student"/>
    <x v="1"/>
    <s v="B"/>
  </r>
  <r>
    <n v="95"/>
    <s v="Shyam"/>
    <x v="0"/>
    <x v="6"/>
    <n v="72"/>
    <n v="65"/>
    <n v="64"/>
    <n v="68"/>
    <s v="No"/>
    <n v="8"/>
    <n v="5"/>
    <n v="197"/>
    <x v="28"/>
    <x v="0"/>
    <n v="32.833333333333336"/>
    <s v="No"/>
    <s v="Normal Students"/>
    <s v="Unbalanced Student"/>
    <x v="1"/>
    <s v="C"/>
  </r>
  <r>
    <n v="96"/>
    <s v="Priyanshi"/>
    <x v="1"/>
    <x v="1"/>
    <n v="90"/>
    <n v="86"/>
    <n v="88"/>
    <n v="89"/>
    <s v="Yes"/>
    <n v="6"/>
    <n v="2"/>
    <n v="263"/>
    <x v="1"/>
    <x v="1"/>
    <n v="17.533333333333335"/>
    <s v="No"/>
    <s v="Normal Students"/>
    <s v="Balanced Student"/>
    <x v="0"/>
    <s v="A"/>
  </r>
  <r>
    <n v="97"/>
    <s v="Naveen"/>
    <x v="0"/>
    <x v="0"/>
    <n v="80"/>
    <n v="75"/>
    <n v="73"/>
    <n v="78"/>
    <s v="Yes"/>
    <n v="7"/>
    <n v="4"/>
    <n v="226"/>
    <x v="29"/>
    <x v="0"/>
    <n v="25.111111111111111"/>
    <s v="No"/>
    <s v="Normal Students"/>
    <s v="Unbalanced Student"/>
    <x v="0"/>
    <s v="B"/>
  </r>
  <r>
    <n v="98"/>
    <s v="Chitra"/>
    <x v="1"/>
    <x v="3"/>
    <n v="87"/>
    <n v="83"/>
    <n v="81"/>
    <n v="85"/>
    <s v="No"/>
    <n v="6"/>
    <n v="3"/>
    <n v="249"/>
    <x v="30"/>
    <x v="1"/>
    <n v="20.75"/>
    <s v="No"/>
    <s v="Normal Students"/>
    <s v="Balanced Student"/>
    <x v="0"/>
    <s v="A"/>
  </r>
  <r>
    <n v="99"/>
    <s v="Omkar"/>
    <x v="0"/>
    <x v="5"/>
    <n v="62"/>
    <n v="52"/>
    <n v="50"/>
    <n v="57"/>
    <s v="No"/>
    <n v="8"/>
    <n v="6"/>
    <n v="159"/>
    <x v="31"/>
    <x v="2"/>
    <n v="53"/>
    <s v="Yes"/>
    <s v="Normal Students"/>
    <s v="Unbalanced Student"/>
    <x v="1"/>
    <s v="D"/>
  </r>
  <r>
    <n v="100"/>
    <s v="Juhi"/>
    <x v="1"/>
    <x v="1"/>
    <n v="92"/>
    <n v="89"/>
    <n v="90"/>
    <n v="93"/>
    <s v="Yes"/>
    <n v="6"/>
    <n v="2"/>
    <n v="272"/>
    <x v="32"/>
    <x v="1"/>
    <n v="18.133333333333333"/>
    <s v="No"/>
    <s v="Normal Students"/>
    <s v="Balanced Student"/>
    <x v="0"/>
    <s v="A"/>
  </r>
  <r>
    <n v="101"/>
    <s v="rahul"/>
    <x v="0"/>
    <x v="0"/>
    <n v="85"/>
    <n v="78"/>
    <n v="72"/>
    <n v="80"/>
    <s v="Yes"/>
    <n v="7"/>
    <n v="3"/>
    <n v="230"/>
    <x v="0"/>
    <x v="0"/>
    <n v="25.555555555555557"/>
    <s v="No"/>
    <s v="Normal Students"/>
    <s v="Unbalanced Student"/>
    <x v="0"/>
    <s v="B"/>
  </r>
  <r>
    <n v="102"/>
    <s v="ANITA"/>
    <x v="1"/>
    <x v="3"/>
    <n v="88"/>
    <n v="82"/>
    <n v="79"/>
    <n v="85"/>
    <s v="Yes"/>
    <n v="7"/>
    <n v="3"/>
    <n v="246"/>
    <x v="3"/>
    <x v="1"/>
    <n v="20.5"/>
    <s v="No"/>
    <s v="Normal Students"/>
    <s v="Balanced Student"/>
    <x v="0"/>
    <s v="A"/>
  </r>
  <r>
    <n v="103"/>
    <s v="Unknown"/>
    <x v="1"/>
    <x v="1"/>
    <n v="90"/>
    <n v="85"/>
    <n v="87"/>
    <n v="89"/>
    <s v="Yes"/>
    <n v="6"/>
    <n v="2"/>
    <n v="261"/>
    <x v="7"/>
    <x v="1"/>
    <n v="17.399999999999999"/>
    <s v="No"/>
    <s v="Normal Students"/>
    <s v="Balanced Student"/>
    <x v="0"/>
    <s v="A"/>
  </r>
  <r>
    <n v="104"/>
    <s v="Ayush"/>
    <x v="0"/>
    <x v="3"/>
    <n v="86"/>
    <n v="82"/>
    <n v="80"/>
    <n v="84"/>
    <s v="Yes"/>
    <n v="7"/>
    <n v="3"/>
    <n v="246"/>
    <x v="3"/>
    <x v="1"/>
    <n v="20.5"/>
    <s v="No"/>
    <s v="Normal Students"/>
    <s v="Balanced Student"/>
    <x v="0"/>
    <s v="A"/>
  </r>
  <r>
    <n v="105"/>
    <s v="Megha"/>
    <x v="1"/>
    <x v="1"/>
    <n v="91"/>
    <n v="87"/>
    <n v="88"/>
    <n v="90"/>
    <s v="Yes"/>
    <n v="6"/>
    <n v="2"/>
    <n v="265"/>
    <x v="13"/>
    <x v="1"/>
    <n v="17.666666666666664"/>
    <s v="No"/>
    <s v="Normal Students"/>
    <s v="Balanced Student"/>
    <x v="0"/>
    <s v="A"/>
  </r>
  <r>
    <n v="106"/>
    <s v="Suraj"/>
    <x v="0"/>
    <x v="0"/>
    <n v="80"/>
    <n v="75"/>
    <n v="73"/>
    <n v="78"/>
    <s v="No"/>
    <n v="7"/>
    <n v="4"/>
    <n v="226"/>
    <x v="29"/>
    <x v="0"/>
    <n v="25.111111111111111"/>
    <s v="No"/>
    <s v="Normal Students"/>
    <s v="Unbalanced Student"/>
    <x v="0"/>
    <s v="B"/>
  </r>
  <r>
    <n v="107"/>
    <s v="Rashmi"/>
    <x v="1"/>
    <x v="3"/>
    <n v="87"/>
    <n v="83"/>
    <n v="81"/>
    <n v="85"/>
    <s v="Yes"/>
    <n v="6"/>
    <n v="3"/>
    <n v="249"/>
    <x v="30"/>
    <x v="1"/>
    <n v="20.75"/>
    <s v="No"/>
    <s v="Normal Students"/>
    <s v="Balanced Student"/>
    <x v="0"/>
    <s v="A"/>
  </r>
  <r>
    <n v="108"/>
    <s v="Kamal"/>
    <x v="0"/>
    <x v="6"/>
    <n v="70"/>
    <n v="62"/>
    <n v="60"/>
    <n v="66"/>
    <s v="No"/>
    <n v="8"/>
    <n v="5"/>
    <n v="188"/>
    <x v="23"/>
    <x v="0"/>
    <n v="31.333333333333332"/>
    <s v="No"/>
    <s v="Normal Students"/>
    <s v="Unbalanced Student"/>
    <x v="1"/>
    <s v="C"/>
  </r>
  <r>
    <n v="109"/>
    <s v="Priti"/>
    <x v="1"/>
    <x v="1"/>
    <n v="92"/>
    <n v="88"/>
    <n v="90"/>
    <n v="91"/>
    <s v="Yes"/>
    <n v="6"/>
    <n v="2"/>
    <n v="269"/>
    <x v="21"/>
    <x v="1"/>
    <n v="17.933333333333334"/>
    <s v="No"/>
    <s v="Normal Students"/>
    <s v="Balanced Student"/>
    <x v="0"/>
    <s v="A"/>
  </r>
  <r>
    <n v="110"/>
    <s v="Dinesh"/>
    <x v="0"/>
    <x v="0"/>
    <n v="78"/>
    <n v="72"/>
    <n v="70"/>
    <n v="75"/>
    <s v="Yes"/>
    <n v="7"/>
    <n v="4"/>
    <n v="217"/>
    <x v="16"/>
    <x v="0"/>
    <n v="24.111111111111111"/>
    <s v="No"/>
    <s v="Normal Students"/>
    <s v="Unbalanced Student"/>
    <x v="1"/>
    <s v="B"/>
  </r>
  <r>
    <n v="111"/>
    <s v="Shalini"/>
    <x v="1"/>
    <x v="3"/>
    <n v="85"/>
    <n v="80"/>
    <n v="82"/>
    <n v="84"/>
    <s v="Yes"/>
    <n v="7"/>
    <n v="3"/>
    <n v="246"/>
    <x v="3"/>
    <x v="1"/>
    <n v="20.5"/>
    <s v="No"/>
    <s v="Normal Students"/>
    <s v="Balanced Student"/>
    <x v="0"/>
    <s v="A"/>
  </r>
  <r>
    <n v="112"/>
    <s v="Harish"/>
    <x v="0"/>
    <x v="4"/>
    <n v="94"/>
    <n v="91"/>
    <n v="90"/>
    <n v="92"/>
    <s v="No"/>
    <n v="6"/>
    <n v="2"/>
    <n v="273"/>
    <x v="26"/>
    <x v="1"/>
    <n v="15.166666666666666"/>
    <s v="No"/>
    <s v="Normal Students"/>
    <s v="Balanced Student"/>
    <x v="0"/>
    <s v="A"/>
  </r>
  <r>
    <n v="113"/>
    <s v="Rekha"/>
    <x v="1"/>
    <x v="0"/>
    <n v="79"/>
    <n v="74"/>
    <n v="72"/>
    <n v="76"/>
    <s v="Yes"/>
    <n v="7"/>
    <n v="4"/>
    <n v="222"/>
    <x v="27"/>
    <x v="0"/>
    <n v="24.666666666666668"/>
    <s v="No"/>
    <s v="Normal Students"/>
    <s v="Unbalanced Student"/>
    <x v="1"/>
    <s v="B"/>
  </r>
  <r>
    <n v="114"/>
    <s v="Naresh"/>
    <x v="0"/>
    <x v="6"/>
    <n v="72"/>
    <n v="65"/>
    <n v="64"/>
    <n v="68"/>
    <s v="No"/>
    <n v="8"/>
    <n v="5"/>
    <n v="197"/>
    <x v="28"/>
    <x v="0"/>
    <n v="32.833333333333336"/>
    <s v="No"/>
    <s v="Normal Students"/>
    <s v="Unbalanced Student"/>
    <x v="1"/>
    <s v="C"/>
  </r>
  <r>
    <n v="115"/>
    <s v="Alok"/>
    <x v="0"/>
    <x v="1"/>
    <n v="90"/>
    <n v="86"/>
    <n v="88"/>
    <n v="89"/>
    <s v="Yes"/>
    <n v="6"/>
    <n v="2"/>
    <n v="263"/>
    <x v="1"/>
    <x v="1"/>
    <n v="17.533333333333335"/>
    <s v="No"/>
    <s v="Normal Students"/>
    <s v="Balanced Student"/>
    <x v="0"/>
    <s v="A"/>
  </r>
  <r>
    <n v="116"/>
    <s v="Suman"/>
    <x v="1"/>
    <x v="3"/>
    <n v="87"/>
    <n v="83"/>
    <n v="81"/>
    <n v="85"/>
    <s v="Yes"/>
    <n v="6"/>
    <n v="3"/>
    <n v="249"/>
    <x v="30"/>
    <x v="1"/>
    <n v="20.75"/>
    <s v="No"/>
    <s v="Normal Students"/>
    <s v="Balanced Student"/>
    <x v="0"/>
    <s v="A"/>
  </r>
  <r>
    <n v="117"/>
    <s v="Keshav"/>
    <x v="0"/>
    <x v="0"/>
    <n v="80"/>
    <n v="75"/>
    <n v="73"/>
    <n v="78"/>
    <s v="No"/>
    <n v="7"/>
    <n v="4"/>
    <n v="226"/>
    <x v="29"/>
    <x v="0"/>
    <n v="25.111111111111111"/>
    <s v="No"/>
    <s v="Normal Students"/>
    <s v="Unbalanced Student"/>
    <x v="0"/>
    <s v="B"/>
  </r>
  <r>
    <n v="118"/>
    <s v="Rupal"/>
    <x v="1"/>
    <x v="1"/>
    <n v="91"/>
    <n v="87"/>
    <n v="88"/>
    <n v="90"/>
    <s v="Yes"/>
    <n v="6"/>
    <n v="2"/>
    <n v="265"/>
    <x v="13"/>
    <x v="1"/>
    <n v="17.666666666666664"/>
    <s v="No"/>
    <s v="Normal Students"/>
    <s v="Balanced Student"/>
    <x v="0"/>
    <s v="A"/>
  </r>
  <r>
    <n v="119"/>
    <s v="Tejas"/>
    <x v="0"/>
    <x v="6"/>
    <n v="68"/>
    <n v="60"/>
    <n v="58"/>
    <n v="64"/>
    <s v="No"/>
    <n v="8"/>
    <n v="5"/>
    <n v="182"/>
    <x v="36"/>
    <x v="0"/>
    <n v="30.333333333333332"/>
    <s v="No"/>
    <s v="Normal Students"/>
    <s v="Unbalanced Student"/>
    <x v="1"/>
    <s v="C"/>
  </r>
  <r>
    <n v="120"/>
    <s v="Ila"/>
    <x v="1"/>
    <x v="3"/>
    <n v="85"/>
    <n v="81"/>
    <n v="82"/>
    <n v="84"/>
    <s v="Yes"/>
    <n v="7"/>
    <n v="3"/>
    <n v="247"/>
    <x v="19"/>
    <x v="1"/>
    <n v="20.583333333333332"/>
    <s v="No"/>
    <s v="Normal Students"/>
    <s v="Balanced Student"/>
    <x v="0"/>
    <s v="A"/>
  </r>
  <r>
    <n v="121"/>
    <s v="Rajiv"/>
    <x v="0"/>
    <x v="4"/>
    <n v="94"/>
    <n v="92"/>
    <n v="91"/>
    <n v="95"/>
    <s v="No"/>
    <n v="6"/>
    <n v="2"/>
    <n v="278"/>
    <x v="37"/>
    <x v="1"/>
    <n v="15.444444444444445"/>
    <s v="No"/>
    <s v="Normal Students"/>
    <s v="Balanced Student"/>
    <x v="0"/>
    <s v="A"/>
  </r>
  <r>
    <n v="122"/>
    <s v="Heena"/>
    <x v="1"/>
    <x v="0"/>
    <n v="78"/>
    <n v="72"/>
    <n v="70"/>
    <n v="75"/>
    <s v="Yes"/>
    <n v="7"/>
    <n v="4"/>
    <n v="217"/>
    <x v="16"/>
    <x v="0"/>
    <n v="24.111111111111111"/>
    <s v="No"/>
    <s v="Normal Students"/>
    <s v="Unbalanced Student"/>
    <x v="1"/>
    <s v="B"/>
  </r>
  <r>
    <n v="123"/>
    <s v="Manav"/>
    <x v="0"/>
    <x v="3"/>
    <n v="85"/>
    <n v="80"/>
    <n v="82"/>
    <n v="84"/>
    <s v="Yes"/>
    <n v="7"/>
    <n v="3"/>
    <n v="246"/>
    <x v="3"/>
    <x v="1"/>
    <n v="20.5"/>
    <s v="No"/>
    <s v="Normal Students"/>
    <s v="Balanced Student"/>
    <x v="0"/>
    <s v="A"/>
  </r>
  <r>
    <n v="124"/>
    <s v="Pooja"/>
    <x v="1"/>
    <x v="1"/>
    <n v="90"/>
    <n v="86"/>
    <n v="88"/>
    <n v="89"/>
    <s v="Yes"/>
    <n v="6"/>
    <n v="2"/>
    <n v="263"/>
    <x v="1"/>
    <x v="1"/>
    <n v="17.533333333333335"/>
    <s v="No"/>
    <s v="Normal Students"/>
    <s v="Balanced Student"/>
    <x v="0"/>
    <s v="A"/>
  </r>
  <r>
    <n v="125"/>
    <s v="Ashish"/>
    <x v="0"/>
    <x v="6"/>
    <n v="70"/>
    <n v="62"/>
    <n v="60"/>
    <n v="66"/>
    <s v="No"/>
    <n v="8"/>
    <n v="5"/>
    <n v="188"/>
    <x v="23"/>
    <x v="0"/>
    <n v="31.333333333333332"/>
    <s v="No"/>
    <s v="Normal Students"/>
    <s v="Unbalanced Student"/>
    <x v="1"/>
    <s v="C"/>
  </r>
  <r>
    <n v="126"/>
    <s v="Kirti"/>
    <x v="1"/>
    <x v="3"/>
    <n v="88"/>
    <n v="84"/>
    <n v="83"/>
    <n v="86"/>
    <s v="Yes"/>
    <n v="7"/>
    <n v="3"/>
    <n v="253"/>
    <x v="6"/>
    <x v="1"/>
    <n v="21.083333333333332"/>
    <s v="No"/>
    <s v="Normal Students"/>
    <s v="Balanced Student"/>
    <x v="0"/>
    <s v="A"/>
  </r>
  <r>
    <n v="127"/>
    <s v="Nakul"/>
    <x v="0"/>
    <x v="0"/>
    <n v="82"/>
    <n v="76"/>
    <n v="75"/>
    <n v="80"/>
    <s v="No"/>
    <n v="7"/>
    <n v="4"/>
    <n v="231"/>
    <x v="12"/>
    <x v="0"/>
    <n v="25.666666666666668"/>
    <s v="No"/>
    <s v="Normal Students"/>
    <s v="Unbalanced Student"/>
    <x v="0"/>
    <s v="B"/>
  </r>
  <r>
    <n v="128"/>
    <s v="Sapna"/>
    <x v="1"/>
    <x v="1"/>
    <n v="91"/>
    <n v="87"/>
    <n v="88"/>
    <n v="90"/>
    <s v="Yes"/>
    <n v="6"/>
    <n v="2"/>
    <n v="265"/>
    <x v="13"/>
    <x v="1"/>
    <n v="17.666666666666664"/>
    <s v="No"/>
    <s v="Normal Students"/>
    <s v="Balanced Student"/>
    <x v="0"/>
    <s v="A"/>
  </r>
  <r>
    <n v="129"/>
    <s v="Ritesh"/>
    <x v="0"/>
    <x v="6"/>
    <n v="68"/>
    <n v="60"/>
    <n v="58"/>
    <n v="64"/>
    <s v="No"/>
    <n v="8"/>
    <n v="5"/>
    <n v="182"/>
    <x v="36"/>
    <x v="0"/>
    <n v="30.333333333333332"/>
    <s v="No"/>
    <s v="Normal Students"/>
    <s v="Unbalanced Student"/>
    <x v="1"/>
    <s v="C"/>
  </r>
  <r>
    <n v="130"/>
    <s v="Garima"/>
    <x v="1"/>
    <x v="3"/>
    <n v="85"/>
    <n v="81"/>
    <n v="82"/>
    <n v="84"/>
    <s v="Yes"/>
    <n v="7"/>
    <n v="3"/>
    <n v="247"/>
    <x v="19"/>
    <x v="1"/>
    <n v="20.583333333333332"/>
    <s v="No"/>
    <s v="Normal Students"/>
    <s v="Balanced Student"/>
    <x v="0"/>
    <s v="A"/>
  </r>
  <r>
    <n v="131"/>
    <s v="Vishal"/>
    <x v="0"/>
    <x v="4"/>
    <n v="94"/>
    <n v="91"/>
    <n v="90"/>
    <n v="92"/>
    <s v="No"/>
    <n v="6"/>
    <n v="2"/>
    <n v="273"/>
    <x v="26"/>
    <x v="1"/>
    <n v="15.166666666666666"/>
    <s v="No"/>
    <s v="Normal Students"/>
    <s v="Balanced Student"/>
    <x v="0"/>
    <s v="A"/>
  </r>
  <r>
    <n v="132"/>
    <s v="Preeti"/>
    <x v="1"/>
    <x v="0"/>
    <n v="79"/>
    <n v="74"/>
    <n v="72"/>
    <n v="77"/>
    <s v="Yes"/>
    <n v="7"/>
    <n v="4"/>
    <n v="223"/>
    <x v="38"/>
    <x v="0"/>
    <n v="24.777777777777775"/>
    <s v="No"/>
    <s v="Normal Students"/>
    <s v="Unbalanced Student"/>
    <x v="1"/>
    <s v="B"/>
  </r>
  <r>
    <n v="133"/>
    <s v="Rohini"/>
    <x v="1"/>
    <x v="1"/>
    <n v="90"/>
    <n v="86"/>
    <n v="88"/>
    <n v="89"/>
    <s v="Yes"/>
    <n v="6"/>
    <n v="2"/>
    <n v="263"/>
    <x v="1"/>
    <x v="1"/>
    <n v="17.533333333333335"/>
    <s v="No"/>
    <s v="Normal Students"/>
    <s v="Balanced Student"/>
    <x v="0"/>
    <s v="A"/>
  </r>
  <r>
    <n v="134"/>
    <s v="Karan"/>
    <x v="0"/>
    <x v="0"/>
    <n v="80"/>
    <n v="75"/>
    <n v="73"/>
    <n v="78"/>
    <s v="No"/>
    <n v="7"/>
    <n v="4"/>
    <n v="226"/>
    <x v="29"/>
    <x v="0"/>
    <n v="25.111111111111111"/>
    <s v="No"/>
    <s v="Normal Students"/>
    <s v="Unbalanced Student"/>
    <x v="0"/>
    <s v="B"/>
  </r>
  <r>
    <n v="135"/>
    <s v="Aarti"/>
    <x v="1"/>
    <x v="3"/>
    <n v="87"/>
    <n v="83"/>
    <n v="81"/>
    <n v="85"/>
    <s v="Yes"/>
    <n v="6"/>
    <n v="3"/>
    <n v="249"/>
    <x v="30"/>
    <x v="1"/>
    <n v="20.75"/>
    <s v="No"/>
    <s v="Normal Students"/>
    <s v="Balanced Student"/>
    <x v="0"/>
    <s v="A"/>
  </r>
  <r>
    <n v="136"/>
    <s v="Deepesh"/>
    <x v="0"/>
    <x v="6"/>
    <n v="70"/>
    <n v="62"/>
    <n v="60"/>
    <n v="66"/>
    <s v="No"/>
    <n v="8"/>
    <n v="5"/>
    <n v="188"/>
    <x v="23"/>
    <x v="0"/>
    <n v="31.333333333333332"/>
    <s v="No"/>
    <s v="Normal Students"/>
    <s v="Unbalanced Student"/>
    <x v="1"/>
    <s v="C"/>
  </r>
  <r>
    <n v="137"/>
    <s v="Monika"/>
    <x v="1"/>
    <x v="1"/>
    <n v="92"/>
    <n v="88"/>
    <n v="90"/>
    <n v="91"/>
    <s v="Yes"/>
    <n v="6"/>
    <n v="2"/>
    <n v="269"/>
    <x v="21"/>
    <x v="1"/>
    <n v="17.933333333333334"/>
    <s v="No"/>
    <s v="Normal Students"/>
    <s v="Balanced Student"/>
    <x v="0"/>
    <s v="A"/>
  </r>
  <r>
    <n v="138"/>
    <s v="Sameer"/>
    <x v="0"/>
    <x v="0"/>
    <n v="78"/>
    <n v="72"/>
    <n v="70"/>
    <n v="75"/>
    <s v="Yes"/>
    <n v="7"/>
    <n v="4"/>
    <n v="217"/>
    <x v="16"/>
    <x v="0"/>
    <n v="24.111111111111111"/>
    <s v="No"/>
    <s v="Normal Students"/>
    <s v="Unbalanced Student"/>
    <x v="1"/>
    <s v="B"/>
  </r>
  <r>
    <n v="139"/>
    <s v="Nandini"/>
    <x v="1"/>
    <x v="3"/>
    <n v="85"/>
    <n v="80"/>
    <n v="82"/>
    <n v="84"/>
    <s v="Yes"/>
    <n v="7"/>
    <n v="3"/>
    <n v="246"/>
    <x v="3"/>
    <x v="1"/>
    <n v="20.5"/>
    <s v="No"/>
    <s v="Normal Students"/>
    <s v="Balanced Student"/>
    <x v="0"/>
    <s v="A"/>
  </r>
  <r>
    <n v="140"/>
    <s v="Kapil"/>
    <x v="0"/>
    <x v="4"/>
    <n v="94"/>
    <n v="91"/>
    <n v="90"/>
    <n v="92"/>
    <s v="No"/>
    <n v="6"/>
    <n v="2"/>
    <n v="273"/>
    <x v="26"/>
    <x v="1"/>
    <n v="15.166666666666666"/>
    <s v="No"/>
    <s v="Normal Students"/>
    <s v="Balanced Student"/>
    <x v="0"/>
    <s v="A"/>
  </r>
  <r>
    <n v="141"/>
    <s v="Shruti"/>
    <x v="1"/>
    <x v="0"/>
    <n v="79"/>
    <n v="74"/>
    <n v="72"/>
    <n v="76"/>
    <s v="Yes"/>
    <n v="7"/>
    <n v="4"/>
    <n v="222"/>
    <x v="27"/>
    <x v="0"/>
    <n v="24.666666666666668"/>
    <s v="No"/>
    <s v="Normal Students"/>
    <s v="Unbalanced Student"/>
    <x v="1"/>
    <s v="B"/>
  </r>
  <r>
    <n v="142"/>
    <s v="Anmol"/>
    <x v="0"/>
    <x v="6"/>
    <n v="72"/>
    <n v="65"/>
    <n v="64"/>
    <n v="68"/>
    <s v="No"/>
    <n v="8"/>
    <n v="5"/>
    <n v="197"/>
    <x v="28"/>
    <x v="0"/>
    <n v="32.833333333333336"/>
    <s v="No"/>
    <s v="Normal Students"/>
    <s v="Unbalanced Student"/>
    <x v="1"/>
    <s v="C"/>
  </r>
  <r>
    <n v="143"/>
    <s v="Juhi"/>
    <x v="1"/>
    <x v="1"/>
    <n v="90"/>
    <n v="86"/>
    <n v="88"/>
    <n v="89"/>
    <s v="Yes"/>
    <n v="6"/>
    <n v="2"/>
    <n v="263"/>
    <x v="1"/>
    <x v="1"/>
    <n v="17.533333333333335"/>
    <s v="No"/>
    <s v="Normal Students"/>
    <s v="Balanced Student"/>
    <x v="0"/>
    <s v="A"/>
  </r>
  <r>
    <n v="144"/>
    <s v="Rajeev"/>
    <x v="0"/>
    <x v="0"/>
    <n v="80"/>
    <n v="75"/>
    <n v="73"/>
    <n v="78"/>
    <s v="No"/>
    <n v="7"/>
    <n v="4"/>
    <n v="226"/>
    <x v="29"/>
    <x v="0"/>
    <n v="25.111111111111111"/>
    <s v="No"/>
    <s v="Normal Students"/>
    <s v="Unbalanced Student"/>
    <x v="0"/>
    <s v="B"/>
  </r>
  <r>
    <n v="145"/>
    <s v="Pinky"/>
    <x v="1"/>
    <x v="3"/>
    <n v="87"/>
    <n v="83"/>
    <n v="81"/>
    <n v="85"/>
    <s v="Yes"/>
    <n v="6"/>
    <n v="3"/>
    <n v="249"/>
    <x v="30"/>
    <x v="1"/>
    <n v="20.75"/>
    <s v="No"/>
    <s v="Normal Students"/>
    <s v="Balanced Student"/>
    <x v="0"/>
    <s v="A"/>
  </r>
  <r>
    <n v="146"/>
    <s v="Aman"/>
    <x v="0"/>
    <x v="6"/>
    <n v="70"/>
    <n v="62"/>
    <n v="60"/>
    <n v="66"/>
    <s v="No"/>
    <n v="8"/>
    <n v="5"/>
    <n v="188"/>
    <x v="23"/>
    <x v="0"/>
    <n v="31.333333333333332"/>
    <s v="No"/>
    <s v="Normal Students"/>
    <s v="Unbalanced Student"/>
    <x v="1"/>
    <s v="C"/>
  </r>
  <r>
    <n v="147"/>
    <s v="Kriti"/>
    <x v="1"/>
    <x v="1"/>
    <n v="92"/>
    <n v="88"/>
    <n v="90"/>
    <n v="91"/>
    <s v="Yes"/>
    <n v="6"/>
    <n v="2"/>
    <n v="269"/>
    <x v="21"/>
    <x v="1"/>
    <n v="17.933333333333334"/>
    <s v="No"/>
    <s v="Normal Students"/>
    <s v="Balanced Student"/>
    <x v="0"/>
    <s v="A"/>
  </r>
  <r>
    <n v="148"/>
    <s v="Rohit"/>
    <x v="0"/>
    <x v="0"/>
    <n v="78"/>
    <n v="72"/>
    <n v="70"/>
    <n v="75"/>
    <s v="Yes"/>
    <n v="7"/>
    <n v="4"/>
    <n v="217"/>
    <x v="16"/>
    <x v="0"/>
    <n v="24.111111111111111"/>
    <s v="No"/>
    <s v="Normal Students"/>
    <s v="Unbalanced Student"/>
    <x v="1"/>
    <s v="B"/>
  </r>
  <r>
    <n v="149"/>
    <s v="Sonia"/>
    <x v="1"/>
    <x v="3"/>
    <n v="85"/>
    <n v="80"/>
    <n v="82"/>
    <n v="84"/>
    <s v="Yes"/>
    <n v="7"/>
    <n v="3"/>
    <n v="246"/>
    <x v="3"/>
    <x v="1"/>
    <n v="20.5"/>
    <s v="No"/>
    <s v="Normal Students"/>
    <s v="Balanced Student"/>
    <x v="0"/>
    <s v="A"/>
  </r>
  <r>
    <n v="150"/>
    <s v="Nikhil"/>
    <x v="0"/>
    <x v="4"/>
    <n v="94"/>
    <n v="91"/>
    <n v="90"/>
    <n v="92"/>
    <s v="No"/>
    <n v="6"/>
    <n v="2"/>
    <n v="273"/>
    <x v="26"/>
    <x v="1"/>
    <n v="15.166666666666666"/>
    <s v="No"/>
    <s v="Normal Students"/>
    <s v="Balanced Student"/>
    <x v="0"/>
    <s v="A"/>
  </r>
  <r>
    <n v="151"/>
    <s v="Priya"/>
    <x v="1"/>
    <x v="0"/>
    <n v="79"/>
    <n v="74"/>
    <n v="72"/>
    <n v="76"/>
    <s v="Yes"/>
    <n v="7"/>
    <n v="4"/>
    <n v="222"/>
    <x v="27"/>
    <x v="0"/>
    <n v="24.666666666666668"/>
    <s v="No"/>
    <s v="Normal Students"/>
    <s v="Unbalanced Student"/>
    <x v="1"/>
    <s v="B"/>
  </r>
  <r>
    <n v="152"/>
    <s v="Arun"/>
    <x v="0"/>
    <x v="6"/>
    <n v="72"/>
    <n v="65"/>
    <n v="64"/>
    <n v="68"/>
    <s v="No"/>
    <n v="8"/>
    <n v="5"/>
    <n v="197"/>
    <x v="28"/>
    <x v="0"/>
    <n v="32.833333333333336"/>
    <s v="No"/>
    <s v="Normal Students"/>
    <s v="Unbalanced Student"/>
    <x v="1"/>
    <s v="C"/>
  </r>
  <r>
    <n v="153"/>
    <s v="Kavya"/>
    <x v="1"/>
    <x v="1"/>
    <n v="90"/>
    <n v="86"/>
    <n v="88"/>
    <n v="89"/>
    <s v="Yes"/>
    <n v="6"/>
    <n v="2"/>
    <n v="263"/>
    <x v="1"/>
    <x v="1"/>
    <n v="17.533333333333335"/>
    <s v="No"/>
    <s v="Normal Students"/>
    <s v="Balanced Student"/>
    <x v="0"/>
    <s v="A"/>
  </r>
  <r>
    <n v="154"/>
    <s v="Rohit"/>
    <x v="0"/>
    <x v="3"/>
    <n v="88"/>
    <n v="82"/>
    <n v="80"/>
    <n v="85"/>
    <s v="Yes"/>
    <n v="7"/>
    <n v="3"/>
    <n v="247"/>
    <x v="19"/>
    <x v="1"/>
    <n v="20.583333333333332"/>
    <s v="No"/>
    <s v="Normal Students"/>
    <s v="Balanced Student"/>
    <x v="0"/>
    <s v="A"/>
  </r>
  <r>
    <n v="155"/>
    <s v="Ankit"/>
    <x v="0"/>
    <x v="6"/>
    <n v="75"/>
    <n v="65"/>
    <n v="60"/>
    <n v="68"/>
    <s v="No"/>
    <n v="8"/>
    <n v="5"/>
    <n v="193"/>
    <x v="10"/>
    <x v="0"/>
    <n v="32.166666666666664"/>
    <s v="No"/>
    <s v="Normal Students"/>
    <s v="Unbalanced Student"/>
    <x v="1"/>
    <s v="C"/>
  </r>
  <r>
    <n v="156"/>
    <s v="Neeraj"/>
    <x v="0"/>
    <x v="0"/>
    <n v="80"/>
    <n v="75"/>
    <n v="72"/>
    <n v="78"/>
    <s v="Yes"/>
    <n v="7"/>
    <n v="4"/>
    <n v="225"/>
    <x v="18"/>
    <x v="0"/>
    <n v="25"/>
    <s v="No"/>
    <s v="Normal Students"/>
    <s v="Unbalanced Student"/>
    <x v="0"/>
    <s v="B"/>
  </r>
  <r>
    <n v="157"/>
    <s v="Payal"/>
    <x v="1"/>
    <x v="1"/>
    <n v="90"/>
    <n v="86"/>
    <n v="88"/>
    <n v="91"/>
    <s v="Yes"/>
    <n v="6"/>
    <n v="2"/>
    <n v="265"/>
    <x v="13"/>
    <x v="1"/>
    <n v="17.666666666666664"/>
    <s v="No"/>
    <s v="Normal Students"/>
    <s v="Balanced Student"/>
    <x v="0"/>
    <s v="A"/>
  </r>
  <r>
    <n v="158"/>
    <s v="Sakshi"/>
    <x v="1"/>
    <x v="3"/>
    <n v="85"/>
    <n v="80"/>
    <n v="82"/>
    <n v="84"/>
    <s v="Yes"/>
    <n v="7"/>
    <n v="3"/>
    <n v="246"/>
    <x v="3"/>
    <x v="1"/>
    <n v="20.5"/>
    <s v="No"/>
    <s v="Normal Students"/>
    <s v="Balanced Student"/>
    <x v="0"/>
    <s v="A"/>
  </r>
  <r>
    <n v="159"/>
    <s v="Amit"/>
    <x v="0"/>
    <x v="5"/>
    <n v="60"/>
    <n v="50"/>
    <n v="48"/>
    <n v="55"/>
    <s v="No"/>
    <n v="8"/>
    <n v="6"/>
    <n v="153"/>
    <x v="20"/>
    <x v="2"/>
    <n v="51"/>
    <s v="Yes"/>
    <s v="Normal Students"/>
    <s v="Unbalanced Student"/>
    <x v="1"/>
    <s v="D"/>
  </r>
  <r>
    <n v="160"/>
    <s v="Ritu"/>
    <x v="1"/>
    <x v="4"/>
    <n v="95"/>
    <n v="92"/>
    <n v="93"/>
    <n v="96"/>
    <s v="No"/>
    <n v="6"/>
    <n v="2"/>
    <n v="281"/>
    <x v="9"/>
    <x v="1"/>
    <n v="15.611111111111112"/>
    <s v="No"/>
    <s v="Normal Students"/>
    <s v="Balanced Student"/>
    <x v="0"/>
    <s v="A"/>
  </r>
  <r>
    <n v="161"/>
    <s v="Kiran"/>
    <x v="1"/>
    <x v="0"/>
    <n v="78"/>
    <n v="72"/>
    <n v="70"/>
    <n v="75"/>
    <s v="Yes"/>
    <n v="7"/>
    <n v="4"/>
    <n v="217"/>
    <x v="16"/>
    <x v="0"/>
    <n v="24.111111111111111"/>
    <s v="No"/>
    <s v="Normal Students"/>
    <s v="Unbalanced Student"/>
    <x v="1"/>
    <s v="B"/>
  </r>
  <r>
    <n v="162"/>
    <s v="Varsha"/>
    <x v="1"/>
    <x v="2"/>
    <n v="82"/>
    <n v="78"/>
    <n v="76"/>
    <n v="80"/>
    <s v="Yes"/>
    <n v="7"/>
    <n v="3"/>
    <n v="234"/>
    <x v="39"/>
    <x v="0"/>
    <n v="0"/>
    <s v="No"/>
    <s v="Normal Students"/>
    <s v="Unbalanced Student"/>
    <x v="0"/>
    <s v="B"/>
  </r>
  <r>
    <n v="163"/>
    <s v="Deep"/>
    <x v="0"/>
    <x v="6"/>
    <n v="70"/>
    <n v="65"/>
    <n v="60"/>
    <n v="66"/>
    <s v="No"/>
    <n v="8"/>
    <n v="5"/>
    <n v="191"/>
    <x v="40"/>
    <x v="0"/>
    <n v="31.833333333333332"/>
    <s v="No"/>
    <s v="Normal Students"/>
    <s v="Unbalanced Student"/>
    <x v="1"/>
    <s v="C"/>
  </r>
  <r>
    <n v="164"/>
    <s v="Ajit"/>
    <x v="0"/>
    <x v="0"/>
    <n v="79"/>
    <n v="74"/>
    <n v="72"/>
    <n v="77"/>
    <s v="Yes"/>
    <n v="7"/>
    <n v="0"/>
    <n v="223"/>
    <x v="38"/>
    <x v="0"/>
    <n v="24.777777777777775"/>
    <s v="No"/>
    <s v="Normal Students"/>
    <s v="Unbalanced Student"/>
    <x v="1"/>
    <s v="B"/>
  </r>
  <r>
    <n v="165"/>
    <s v="Poonam"/>
    <x v="1"/>
    <x v="1"/>
    <n v="91"/>
    <n v="87"/>
    <n v="88"/>
    <n v="90"/>
    <s v="Yes"/>
    <n v="6"/>
    <n v="2"/>
    <n v="265"/>
    <x v="13"/>
    <x v="1"/>
    <n v="17.666666666666664"/>
    <s v="No"/>
    <s v="Normal Students"/>
    <s v="Balanced Student"/>
    <x v="0"/>
    <s v="A"/>
  </r>
  <r>
    <n v="166"/>
    <s v="Arvind"/>
    <x v="0"/>
    <x v="3"/>
    <n v="86"/>
    <n v="82"/>
    <n v="80"/>
    <n v="84"/>
    <s v="No"/>
    <n v="7"/>
    <n v="3"/>
    <n v="246"/>
    <x v="3"/>
    <x v="1"/>
    <n v="20.5"/>
    <s v="No"/>
    <s v="Normal Students"/>
    <s v="Balanced Student"/>
    <x v="0"/>
    <s v="A"/>
  </r>
  <r>
    <n v="167"/>
    <s v="Komal"/>
    <x v="1"/>
    <x v="0"/>
    <n v="78"/>
    <n v="72"/>
    <n v="0"/>
    <n v="75"/>
    <s v="Yes"/>
    <n v="7"/>
    <n v="4"/>
    <n v="147"/>
    <x v="41"/>
    <x v="2"/>
    <n v="16.333333333333332"/>
    <s v="No"/>
    <s v="Normal Students"/>
    <s v="Unbalanced Student"/>
    <x v="1"/>
    <s v="F"/>
  </r>
  <r>
    <n v="168"/>
    <s v="Yogesh"/>
    <x v="0"/>
    <x v="4"/>
    <n v="94"/>
    <n v="91"/>
    <n v="90"/>
    <n v="93"/>
    <s v="No"/>
    <n v="6"/>
    <n v="2"/>
    <n v="274"/>
    <x v="15"/>
    <x v="1"/>
    <n v="15.222222222222221"/>
    <s v="No"/>
    <s v="Normal Students"/>
    <s v="Balanced Student"/>
    <x v="0"/>
    <s v="A"/>
  </r>
  <r>
    <n v="169"/>
    <s v="Sonal"/>
    <x v="1"/>
    <x v="6"/>
    <n v="72"/>
    <n v="65"/>
    <n v="63"/>
    <n v="68"/>
    <s v="Yes"/>
    <n v="8"/>
    <n v="5"/>
    <n v="196"/>
    <x v="42"/>
    <x v="0"/>
    <n v="32.666666666666664"/>
    <s v="No"/>
    <s v="Normal Students"/>
    <s v="Unbalanced Student"/>
    <x v="1"/>
    <s v="C"/>
  </r>
  <r>
    <n v="170"/>
    <s v="Anu"/>
    <x v="1"/>
    <x v="1"/>
    <n v="90"/>
    <n v="85"/>
    <n v="87"/>
    <n v="89"/>
    <s v="Yes"/>
    <n v="6"/>
    <n v="2"/>
    <n v="261"/>
    <x v="7"/>
    <x v="1"/>
    <n v="17.399999999999999"/>
    <s v="No"/>
    <s v="Normal Students"/>
    <s v="Balanced Student"/>
    <x v="0"/>
    <s v="A"/>
  </r>
  <r>
    <n v="171"/>
    <s v="Ramesh"/>
    <x v="0"/>
    <x v="0"/>
    <n v="80"/>
    <n v="75"/>
    <n v="73"/>
    <n v="78"/>
    <s v="No"/>
    <n v="7"/>
    <n v="4"/>
    <n v="226"/>
    <x v="29"/>
    <x v="0"/>
    <n v="25.111111111111111"/>
    <s v="No"/>
    <s v="Normal Students"/>
    <s v="Unbalanced Student"/>
    <x v="0"/>
    <s v="B"/>
  </r>
  <r>
    <n v="172"/>
    <s v="Geeta"/>
    <x v="1"/>
    <x v="3"/>
    <n v="88"/>
    <n v="84"/>
    <n v="82"/>
    <n v="86"/>
    <s v="Yes"/>
    <n v="7"/>
    <n v="3"/>
    <n v="252"/>
    <x v="11"/>
    <x v="1"/>
    <n v="21"/>
    <s v="No"/>
    <s v="Normal Students"/>
    <s v="Balanced Student"/>
    <x v="0"/>
    <s v="A"/>
  </r>
  <r>
    <n v="173"/>
    <s v="Suresh"/>
    <x v="0"/>
    <x v="6"/>
    <n v="68"/>
    <n v="60"/>
    <n v="58"/>
    <n v="64"/>
    <s v="No"/>
    <n v="8"/>
    <n v="5"/>
    <n v="182"/>
    <x v="36"/>
    <x v="0"/>
    <n v="30.333333333333332"/>
    <s v="No"/>
    <s v="Normal Students"/>
    <s v="Unbalanced Student"/>
    <x v="1"/>
    <s v="C"/>
  </r>
  <r>
    <n v="174"/>
    <s v="Lata"/>
    <x v="1"/>
    <x v="1"/>
    <n v="92"/>
    <n v="89"/>
    <n v="90"/>
    <n v="93"/>
    <s v="Yes"/>
    <n v="6"/>
    <n v="2"/>
    <n v="272"/>
    <x v="32"/>
    <x v="1"/>
    <n v="18.133333333333333"/>
    <s v="No"/>
    <s v="Normal Students"/>
    <s v="Balanced Student"/>
    <x v="0"/>
    <s v="A"/>
  </r>
  <r>
    <n v="175"/>
    <s v="Kishor"/>
    <x v="0"/>
    <x v="5"/>
    <n v="62"/>
    <n v="52"/>
    <n v="50"/>
    <n v="57"/>
    <s v="No"/>
    <n v="8"/>
    <n v="6"/>
    <n v="159"/>
    <x v="31"/>
    <x v="2"/>
    <n v="53"/>
    <s v="Yes"/>
    <s v="Normal Students"/>
    <s v="Unbalanced Student"/>
    <x v="1"/>
    <s v="D"/>
  </r>
  <r>
    <n v="176"/>
    <s v="Madhu"/>
    <x v="1"/>
    <x v="4"/>
    <n v="96"/>
    <n v="93"/>
    <n v="94"/>
    <n v="97"/>
    <s v="No"/>
    <n v="6"/>
    <n v="2"/>
    <n v="284"/>
    <x v="33"/>
    <x v="1"/>
    <n v="15.777777777777779"/>
    <s v="No"/>
    <s v="Normal Students"/>
    <s v="Balanced Student"/>
    <x v="0"/>
    <s v="A"/>
  </r>
  <r>
    <n v="177"/>
    <s v="Sunita"/>
    <x v="1"/>
    <x v="0"/>
    <n v="79"/>
    <n v="74"/>
    <n v="72"/>
    <n v="76"/>
    <s v="Yes"/>
    <n v="7"/>
    <n v="4"/>
    <n v="222"/>
    <x v="27"/>
    <x v="0"/>
    <n v="24.666666666666668"/>
    <s v="No"/>
    <s v="Normal Students"/>
    <s v="Unbalanced Student"/>
    <x v="1"/>
    <s v="B"/>
  </r>
  <r>
    <n v="178"/>
    <s v="Prakash"/>
    <x v="0"/>
    <x v="6"/>
    <n v="70"/>
    <n v="63"/>
    <n v="60"/>
    <n v="66"/>
    <s v="Yes"/>
    <n v="8"/>
    <n v="5"/>
    <n v="189"/>
    <x v="34"/>
    <x v="0"/>
    <n v="31.5"/>
    <s v="No"/>
    <s v="Normal Students"/>
    <s v="Unbalanced Student"/>
    <x v="1"/>
    <s v="C"/>
  </r>
  <r>
    <n v="179"/>
    <s v="Reena"/>
    <x v="1"/>
    <x v="3"/>
    <n v="87"/>
    <n v="83"/>
    <n v="81"/>
    <n v="85"/>
    <s v="No"/>
    <n v="6"/>
    <n v="3"/>
    <n v="249"/>
    <x v="30"/>
    <x v="1"/>
    <n v="20.75"/>
    <s v="No"/>
    <s v="Normal Students"/>
    <s v="Balanced Student"/>
    <x v="0"/>
    <s v="A"/>
  </r>
  <r>
    <n v="180"/>
    <s v="Ashok"/>
    <x v="0"/>
    <x v="0"/>
    <n v="82"/>
    <n v="76"/>
    <n v="75"/>
    <n v="79"/>
    <s v="No"/>
    <n v="7"/>
    <n v="4"/>
    <n v="230"/>
    <x v="0"/>
    <x v="0"/>
    <n v="25.555555555555557"/>
    <s v="No"/>
    <s v="Normal Students"/>
    <s v="Unbalanced Student"/>
    <x v="0"/>
    <s v="B"/>
  </r>
  <r>
    <n v="181"/>
    <s v="Kajal"/>
    <x v="1"/>
    <x v="1"/>
    <n v="91"/>
    <n v="87"/>
    <n v="89"/>
    <n v="90"/>
    <s v="Yes"/>
    <n v="6"/>
    <n v="2"/>
    <n v="266"/>
    <x v="35"/>
    <x v="1"/>
    <n v="17.733333333333334"/>
    <s v="No"/>
    <s v="Normal Students"/>
    <s v="Balanced Student"/>
    <x v="0"/>
    <s v="A"/>
  </r>
  <r>
    <n v="182"/>
    <s v="Manoj"/>
    <x v="0"/>
    <x v="6"/>
    <n v="68"/>
    <n v="60"/>
    <n v="58"/>
    <n v="63"/>
    <s v="No"/>
    <n v="8"/>
    <n v="5"/>
    <n v="181"/>
    <x v="25"/>
    <x v="0"/>
    <n v="30.166666666666668"/>
    <s v="No"/>
    <s v="Normal Students"/>
    <s v="Unbalanced Student"/>
    <x v="1"/>
    <s v="C"/>
  </r>
  <r>
    <n v="183"/>
    <s v="Tarun"/>
    <x v="0"/>
    <x v="4"/>
    <n v="94"/>
    <n v="92"/>
    <n v="91"/>
    <n v="95"/>
    <s v="No"/>
    <n v="6"/>
    <n v="2"/>
    <n v="278"/>
    <x v="37"/>
    <x v="1"/>
    <n v="15.444444444444445"/>
    <s v="No"/>
    <s v="Normal Students"/>
    <s v="Balanced Student"/>
    <x v="0"/>
    <s v="A"/>
  </r>
  <r>
    <n v="184"/>
    <s v="Seema"/>
    <x v="1"/>
    <x v="0"/>
    <n v="78"/>
    <n v="72"/>
    <n v="70"/>
    <n v="75"/>
    <s v="Yes"/>
    <n v="7"/>
    <n v="4"/>
    <n v="217"/>
    <x v="16"/>
    <x v="0"/>
    <n v="24.111111111111111"/>
    <s v="No"/>
    <s v="Normal Students"/>
    <s v="Unbalanced Student"/>
    <x v="1"/>
    <s v="B"/>
  </r>
  <r>
    <n v="185"/>
    <s v="Gaurav"/>
    <x v="0"/>
    <x v="3"/>
    <n v="85"/>
    <n v="80"/>
    <n v="82"/>
    <n v="84"/>
    <s v="Yes"/>
    <n v="7"/>
    <n v="3"/>
    <n v="246"/>
    <x v="3"/>
    <x v="1"/>
    <n v="20.5"/>
    <s v="No"/>
    <s v="Normal Students"/>
    <s v="Balanced Student"/>
    <x v="0"/>
    <s v="A"/>
  </r>
  <r>
    <n v="186"/>
    <s v="Nikita"/>
    <x v="1"/>
    <x v="1"/>
    <n v="90"/>
    <n v="86"/>
    <n v="88"/>
    <n v="89"/>
    <s v="Yes"/>
    <n v="6"/>
    <n v="2"/>
    <n v="263"/>
    <x v="1"/>
    <x v="1"/>
    <n v="17.533333333333335"/>
    <s v="No"/>
    <s v="Normal Students"/>
    <s v="Balanced Student"/>
    <x v="0"/>
    <s v="A"/>
  </r>
  <r>
    <n v="187"/>
    <s v="Rajesh"/>
    <x v="0"/>
    <x v="6"/>
    <n v="70"/>
    <n v="62"/>
    <n v="60"/>
    <n v="66"/>
    <s v="No"/>
    <n v="8"/>
    <n v="5"/>
    <n v="188"/>
    <x v="23"/>
    <x v="0"/>
    <n v="31.333333333333332"/>
    <s v="No"/>
    <s v="Normal Students"/>
    <s v="Unbalanced Student"/>
    <x v="1"/>
    <s v="C"/>
  </r>
  <r>
    <n v="188"/>
    <s v="Anjali"/>
    <x v="1"/>
    <x v="3"/>
    <n v="88"/>
    <n v="84"/>
    <n v="83"/>
    <n v="86"/>
    <s v="Yes"/>
    <n v="7"/>
    <n v="3"/>
    <n v="253"/>
    <x v="6"/>
    <x v="1"/>
    <n v="21.083333333333332"/>
    <s v="No"/>
    <s v="Normal Students"/>
    <s v="Balanced Student"/>
    <x v="0"/>
    <s v="A"/>
  </r>
  <r>
    <n v="189"/>
    <s v="Vinay"/>
    <x v="0"/>
    <x v="0"/>
    <n v="82"/>
    <n v="76"/>
    <n v="75"/>
    <n v="80"/>
    <s v="No"/>
    <n v="7"/>
    <n v="4"/>
    <n v="231"/>
    <x v="12"/>
    <x v="0"/>
    <n v="25.666666666666668"/>
    <s v="No"/>
    <s v="Normal Students"/>
    <s v="Unbalanced Student"/>
    <x v="0"/>
    <s v="B"/>
  </r>
  <r>
    <n v="190"/>
    <s v="Sarita"/>
    <x v="1"/>
    <x v="1"/>
    <n v="91"/>
    <n v="87"/>
    <n v="88"/>
    <n v="90"/>
    <s v="Yes"/>
    <n v="6"/>
    <n v="2"/>
    <n v="265"/>
    <x v="13"/>
    <x v="1"/>
    <n v="17.666666666666664"/>
    <s v="No"/>
    <s v="Normal Students"/>
    <s v="Balanced Student"/>
    <x v="0"/>
    <s v="A"/>
  </r>
  <r>
    <n v="191"/>
    <s v="Devendra"/>
    <x v="0"/>
    <x v="6"/>
    <n v="68"/>
    <n v="60"/>
    <n v="58"/>
    <n v="64"/>
    <s v="No"/>
    <n v="8"/>
    <n v="5"/>
    <n v="182"/>
    <x v="36"/>
    <x v="0"/>
    <n v="30.333333333333332"/>
    <s v="No"/>
    <s v="Normal Students"/>
    <s v="Unbalanced Student"/>
    <x v="1"/>
    <s v="C"/>
  </r>
  <r>
    <n v="192"/>
    <s v="Kavita"/>
    <x v="1"/>
    <x v="3"/>
    <n v="85"/>
    <n v="81"/>
    <n v="82"/>
    <n v="84"/>
    <s v="Yes"/>
    <n v="7"/>
    <n v="3"/>
    <n v="247"/>
    <x v="19"/>
    <x v="1"/>
    <n v="20.583333333333332"/>
    <s v="No"/>
    <s v="Normal Students"/>
    <s v="Balanced Student"/>
    <x v="0"/>
    <s v="A"/>
  </r>
  <r>
    <n v="193"/>
    <s v="Mukesh"/>
    <x v="0"/>
    <x v="4"/>
    <n v="94"/>
    <n v="91"/>
    <n v="90"/>
    <n v="92"/>
    <s v="No"/>
    <n v="6"/>
    <n v="2"/>
    <n v="273"/>
    <x v="26"/>
    <x v="1"/>
    <n v="15.166666666666666"/>
    <s v="No"/>
    <s v="Normal Students"/>
    <s v="Balanced Student"/>
    <x v="0"/>
    <s v="A"/>
  </r>
  <r>
    <n v="194"/>
    <s v="Radha"/>
    <x v="1"/>
    <x v="0"/>
    <n v="79"/>
    <n v="74"/>
    <n v="72"/>
    <n v="77"/>
    <s v="Yes"/>
    <n v="7"/>
    <n v="4"/>
    <n v="223"/>
    <x v="38"/>
    <x v="0"/>
    <n v="24.777777777777775"/>
    <s v="No"/>
    <s v="Normal Students"/>
    <s v="Unbalanced Student"/>
    <x v="1"/>
    <s v="B"/>
  </r>
  <r>
    <n v="195"/>
    <s v="Shyam"/>
    <x v="0"/>
    <x v="6"/>
    <n v="72"/>
    <n v="65"/>
    <n v="64"/>
    <n v="68"/>
    <s v="No"/>
    <n v="8"/>
    <n v="5"/>
    <n v="197"/>
    <x v="28"/>
    <x v="0"/>
    <n v="32.833333333333336"/>
    <s v="No"/>
    <s v="Normal Students"/>
    <s v="Unbalanced Student"/>
    <x v="1"/>
    <s v="C"/>
  </r>
  <r>
    <n v="196"/>
    <s v="Priyanshi"/>
    <x v="1"/>
    <x v="1"/>
    <n v="90"/>
    <n v="86"/>
    <n v="88"/>
    <n v="89"/>
    <s v="Yes"/>
    <n v="6"/>
    <n v="2"/>
    <n v="263"/>
    <x v="1"/>
    <x v="1"/>
    <n v="17.533333333333335"/>
    <s v="No"/>
    <s v="Normal Students"/>
    <s v="Balanced Student"/>
    <x v="0"/>
    <s v="A"/>
  </r>
  <r>
    <n v="197"/>
    <s v="Naveen"/>
    <x v="0"/>
    <x v="0"/>
    <n v="80"/>
    <n v="75"/>
    <n v="73"/>
    <n v="78"/>
    <s v="Yes"/>
    <n v="7"/>
    <n v="4"/>
    <n v="226"/>
    <x v="29"/>
    <x v="0"/>
    <n v="25.111111111111111"/>
    <s v="No"/>
    <s v="Normal Students"/>
    <s v="Unbalanced Student"/>
    <x v="0"/>
    <s v="B"/>
  </r>
  <r>
    <n v="198"/>
    <s v="Chitra"/>
    <x v="1"/>
    <x v="3"/>
    <n v="87"/>
    <n v="83"/>
    <n v="81"/>
    <n v="85"/>
    <s v="No"/>
    <n v="6"/>
    <n v="3"/>
    <n v="249"/>
    <x v="30"/>
    <x v="1"/>
    <n v="20.75"/>
    <s v="No"/>
    <s v="Normal Students"/>
    <s v="Balanced Student"/>
    <x v="0"/>
    <s v="A"/>
  </r>
  <r>
    <n v="199"/>
    <s v="Omkar"/>
    <x v="0"/>
    <x v="5"/>
    <n v="62"/>
    <n v="52"/>
    <n v="50"/>
    <n v="57"/>
    <s v="No"/>
    <n v="8"/>
    <n v="6"/>
    <n v="159"/>
    <x v="31"/>
    <x v="2"/>
    <n v="53"/>
    <s v="Yes"/>
    <s v="Normal Students"/>
    <s v="Unbalanced Student"/>
    <x v="1"/>
    <s v="D"/>
  </r>
  <r>
    <n v="200"/>
    <s v="Juhi"/>
    <x v="1"/>
    <x v="1"/>
    <n v="92"/>
    <n v="89"/>
    <n v="90"/>
    <n v="93"/>
    <s v="Yes"/>
    <n v="6"/>
    <n v="2"/>
    <n v="272"/>
    <x v="32"/>
    <x v="1"/>
    <n v="18.133333333333333"/>
    <s v="No"/>
    <s v="Normal Students"/>
    <s v="Balanced Student"/>
    <x v="0"/>
    <s v="A"/>
  </r>
  <r>
    <n v="201"/>
    <s v="rahul"/>
    <x v="0"/>
    <x v="0"/>
    <n v="85"/>
    <n v="78"/>
    <n v="72"/>
    <n v="80"/>
    <s v="Yes"/>
    <n v="7"/>
    <n v="3"/>
    <n v="230"/>
    <x v="0"/>
    <x v="0"/>
    <n v="25.555555555555557"/>
    <s v="No"/>
    <s v="Normal Students"/>
    <s v="Unbalanced Student"/>
    <x v="0"/>
    <s v="B"/>
  </r>
  <r>
    <n v="202"/>
    <s v="ANITA"/>
    <x v="1"/>
    <x v="3"/>
    <n v="88"/>
    <n v="82"/>
    <n v="79"/>
    <n v="85"/>
    <s v="Yes"/>
    <n v="7"/>
    <n v="3"/>
    <n v="246"/>
    <x v="3"/>
    <x v="1"/>
    <n v="20.5"/>
    <s v="No"/>
    <s v="Normal Students"/>
    <s v="Balanced Student"/>
    <x v="0"/>
    <s v="A"/>
  </r>
  <r>
    <n v="203"/>
    <s v="Unknown"/>
    <x v="1"/>
    <x v="1"/>
    <n v="90"/>
    <n v="85"/>
    <n v="87"/>
    <n v="89"/>
    <s v="Yes"/>
    <n v="6"/>
    <n v="2"/>
    <n v="261"/>
    <x v="7"/>
    <x v="1"/>
    <n v="17.399999999999999"/>
    <s v="No"/>
    <s v="Normal Students"/>
    <s v="Balanced Student"/>
    <x v="0"/>
    <s v="A"/>
  </r>
  <r>
    <n v="204"/>
    <s v="Ayush"/>
    <x v="0"/>
    <x v="3"/>
    <n v="86"/>
    <n v="82"/>
    <n v="80"/>
    <n v="84"/>
    <s v="Yes"/>
    <n v="7"/>
    <n v="3"/>
    <n v="246"/>
    <x v="3"/>
    <x v="1"/>
    <n v="20.5"/>
    <s v="No"/>
    <s v="Normal Students"/>
    <s v="Balanced Student"/>
    <x v="0"/>
    <s v="A"/>
  </r>
  <r>
    <n v="205"/>
    <s v="Megha"/>
    <x v="1"/>
    <x v="1"/>
    <n v="91"/>
    <n v="87"/>
    <n v="88"/>
    <n v="90"/>
    <s v="Yes"/>
    <n v="6"/>
    <n v="2"/>
    <n v="265"/>
    <x v="13"/>
    <x v="1"/>
    <n v="17.666666666666664"/>
    <s v="No"/>
    <s v="Normal Students"/>
    <s v="Balanced Student"/>
    <x v="0"/>
    <s v="A"/>
  </r>
  <r>
    <n v="206"/>
    <s v="Suraj"/>
    <x v="0"/>
    <x v="0"/>
    <n v="80"/>
    <n v="75"/>
    <n v="73"/>
    <n v="78"/>
    <s v="No"/>
    <n v="7"/>
    <n v="4"/>
    <n v="226"/>
    <x v="29"/>
    <x v="0"/>
    <n v="25.111111111111111"/>
    <s v="No"/>
    <s v="Normal Students"/>
    <s v="Unbalanced Student"/>
    <x v="0"/>
    <s v="B"/>
  </r>
  <r>
    <n v="207"/>
    <s v="Rashmi"/>
    <x v="1"/>
    <x v="3"/>
    <n v="87"/>
    <n v="83"/>
    <n v="81"/>
    <n v="85"/>
    <s v="Yes"/>
    <n v="6"/>
    <n v="3"/>
    <n v="249"/>
    <x v="30"/>
    <x v="1"/>
    <n v="20.75"/>
    <s v="No"/>
    <s v="Normal Students"/>
    <s v="Balanced Student"/>
    <x v="0"/>
    <s v="A"/>
  </r>
  <r>
    <n v="208"/>
    <s v="Kamal"/>
    <x v="0"/>
    <x v="6"/>
    <n v="70"/>
    <n v="62"/>
    <n v="60"/>
    <n v="66"/>
    <s v="No"/>
    <n v="8"/>
    <n v="5"/>
    <n v="188"/>
    <x v="23"/>
    <x v="0"/>
    <n v="31.333333333333332"/>
    <s v="No"/>
    <s v="Normal Students"/>
    <s v="Unbalanced Student"/>
    <x v="1"/>
    <s v="C"/>
  </r>
  <r>
    <n v="209"/>
    <s v="Priti"/>
    <x v="1"/>
    <x v="1"/>
    <n v="92"/>
    <n v="88"/>
    <n v="90"/>
    <n v="91"/>
    <s v="Yes"/>
    <n v="6"/>
    <n v="2"/>
    <n v="269"/>
    <x v="21"/>
    <x v="1"/>
    <n v="17.933333333333334"/>
    <s v="No"/>
    <s v="Normal Students"/>
    <s v="Balanced Student"/>
    <x v="0"/>
    <s v="A"/>
  </r>
  <r>
    <n v="210"/>
    <s v="Dinesh"/>
    <x v="0"/>
    <x v="0"/>
    <n v="78"/>
    <n v="72"/>
    <n v="70"/>
    <n v="75"/>
    <s v="Yes"/>
    <n v="7"/>
    <n v="4"/>
    <n v="217"/>
    <x v="16"/>
    <x v="0"/>
    <n v="24.111111111111111"/>
    <s v="No"/>
    <s v="Normal Students"/>
    <s v="Unbalanced Student"/>
    <x v="1"/>
    <s v="B"/>
  </r>
  <r>
    <n v="211"/>
    <s v="Shalini"/>
    <x v="1"/>
    <x v="3"/>
    <n v="85"/>
    <n v="80"/>
    <n v="82"/>
    <n v="84"/>
    <s v="Yes"/>
    <n v="7"/>
    <n v="3"/>
    <n v="246"/>
    <x v="3"/>
    <x v="1"/>
    <n v="20.5"/>
    <s v="No"/>
    <s v="Normal Students"/>
    <s v="Balanced Student"/>
    <x v="0"/>
    <s v="A"/>
  </r>
  <r>
    <n v="212"/>
    <s v="Harish"/>
    <x v="0"/>
    <x v="4"/>
    <n v="94"/>
    <n v="91"/>
    <n v="90"/>
    <n v="92"/>
    <s v="No"/>
    <n v="6"/>
    <n v="2"/>
    <n v="273"/>
    <x v="26"/>
    <x v="1"/>
    <n v="15.166666666666666"/>
    <s v="No"/>
    <s v="Normal Students"/>
    <s v="Balanced Student"/>
    <x v="0"/>
    <s v="A"/>
  </r>
  <r>
    <n v="213"/>
    <s v="Rekha"/>
    <x v="1"/>
    <x v="0"/>
    <n v="79"/>
    <n v="74"/>
    <n v="72"/>
    <n v="76"/>
    <s v="Yes"/>
    <n v="7"/>
    <n v="4"/>
    <n v="222"/>
    <x v="27"/>
    <x v="0"/>
    <n v="24.666666666666668"/>
    <s v="No"/>
    <s v="Normal Students"/>
    <s v="Unbalanced Student"/>
    <x v="1"/>
    <s v="B"/>
  </r>
  <r>
    <n v="214"/>
    <s v="Naresh"/>
    <x v="0"/>
    <x v="6"/>
    <n v="72"/>
    <n v="65"/>
    <n v="64"/>
    <n v="68"/>
    <s v="No"/>
    <n v="8"/>
    <n v="5"/>
    <n v="197"/>
    <x v="28"/>
    <x v="0"/>
    <n v="32.833333333333336"/>
    <s v="No"/>
    <s v="Normal Students"/>
    <s v="Unbalanced Student"/>
    <x v="1"/>
    <s v="C"/>
  </r>
  <r>
    <n v="215"/>
    <s v="Alok"/>
    <x v="0"/>
    <x v="1"/>
    <n v="90"/>
    <n v="86"/>
    <n v="88"/>
    <n v="89"/>
    <s v="Yes"/>
    <n v="6"/>
    <n v="2"/>
    <n v="263"/>
    <x v="1"/>
    <x v="1"/>
    <n v="17.533333333333335"/>
    <s v="No"/>
    <s v="Normal Students"/>
    <s v="Balanced Student"/>
    <x v="0"/>
    <s v="A"/>
  </r>
  <r>
    <n v="216"/>
    <s v="Suman"/>
    <x v="1"/>
    <x v="3"/>
    <n v="87"/>
    <n v="83"/>
    <n v="81"/>
    <n v="85"/>
    <s v="Yes"/>
    <n v="6"/>
    <n v="3"/>
    <n v="249"/>
    <x v="30"/>
    <x v="1"/>
    <n v="20.75"/>
    <s v="No"/>
    <s v="Normal Students"/>
    <s v="Balanced Student"/>
    <x v="0"/>
    <s v="A"/>
  </r>
  <r>
    <n v="217"/>
    <s v="Keshav"/>
    <x v="0"/>
    <x v="0"/>
    <n v="80"/>
    <n v="75"/>
    <n v="73"/>
    <n v="78"/>
    <s v="No"/>
    <n v="7"/>
    <n v="4"/>
    <n v="226"/>
    <x v="29"/>
    <x v="0"/>
    <n v="25.111111111111111"/>
    <s v="No"/>
    <s v="Normal Students"/>
    <s v="Unbalanced Student"/>
    <x v="0"/>
    <s v="B"/>
  </r>
  <r>
    <n v="218"/>
    <s v="Rupal"/>
    <x v="1"/>
    <x v="1"/>
    <n v="91"/>
    <n v="87"/>
    <n v="88"/>
    <n v="90"/>
    <s v="Yes"/>
    <n v="6"/>
    <n v="2"/>
    <n v="265"/>
    <x v="13"/>
    <x v="1"/>
    <n v="17.666666666666664"/>
    <s v="No"/>
    <s v="Normal Students"/>
    <s v="Balanced Student"/>
    <x v="0"/>
    <s v="A"/>
  </r>
  <r>
    <n v="219"/>
    <s v="Tejas"/>
    <x v="0"/>
    <x v="6"/>
    <n v="68"/>
    <n v="60"/>
    <n v="58"/>
    <n v="64"/>
    <s v="No"/>
    <n v="8"/>
    <n v="5"/>
    <n v="182"/>
    <x v="36"/>
    <x v="0"/>
    <n v="30.333333333333332"/>
    <s v="No"/>
    <s v="Normal Students"/>
    <s v="Unbalanced Student"/>
    <x v="1"/>
    <s v="C"/>
  </r>
  <r>
    <n v="220"/>
    <s v="Ila"/>
    <x v="1"/>
    <x v="3"/>
    <n v="85"/>
    <n v="81"/>
    <n v="82"/>
    <n v="84"/>
    <s v="Yes"/>
    <n v="7"/>
    <n v="3"/>
    <n v="247"/>
    <x v="19"/>
    <x v="1"/>
    <n v="20.583333333333332"/>
    <s v="No"/>
    <s v="Normal Students"/>
    <s v="Balanced Student"/>
    <x v="0"/>
    <s v="A"/>
  </r>
  <r>
    <n v="221"/>
    <s v="Rajiv"/>
    <x v="0"/>
    <x v="4"/>
    <n v="94"/>
    <n v="92"/>
    <n v="91"/>
    <n v="95"/>
    <s v="No"/>
    <n v="6"/>
    <n v="2"/>
    <n v="278"/>
    <x v="37"/>
    <x v="1"/>
    <n v="15.444444444444445"/>
    <s v="No"/>
    <s v="Normal Students"/>
    <s v="Balanced Student"/>
    <x v="0"/>
    <s v="A"/>
  </r>
  <r>
    <n v="222"/>
    <s v="Heena"/>
    <x v="1"/>
    <x v="0"/>
    <n v="78"/>
    <n v="72"/>
    <n v="70"/>
    <n v="75"/>
    <s v="Yes"/>
    <n v="7"/>
    <n v="4"/>
    <n v="217"/>
    <x v="16"/>
    <x v="0"/>
    <n v="24.111111111111111"/>
    <s v="No"/>
    <s v="Normal Students"/>
    <s v="Unbalanced Student"/>
    <x v="1"/>
    <s v="B"/>
  </r>
  <r>
    <n v="223"/>
    <s v="Manav"/>
    <x v="0"/>
    <x v="3"/>
    <n v="85"/>
    <n v="80"/>
    <n v="82"/>
    <n v="84"/>
    <s v="Yes"/>
    <n v="7"/>
    <n v="3"/>
    <n v="246"/>
    <x v="3"/>
    <x v="1"/>
    <n v="20.5"/>
    <s v="No"/>
    <s v="Normal Students"/>
    <s v="Balanced Student"/>
    <x v="0"/>
    <s v="A"/>
  </r>
  <r>
    <n v="224"/>
    <s v="Pooja"/>
    <x v="1"/>
    <x v="1"/>
    <n v="90"/>
    <n v="86"/>
    <n v="88"/>
    <n v="89"/>
    <s v="Yes"/>
    <n v="6"/>
    <n v="2"/>
    <n v="263"/>
    <x v="1"/>
    <x v="1"/>
    <n v="17.533333333333335"/>
    <s v="No"/>
    <s v="Normal Students"/>
    <s v="Balanced Student"/>
    <x v="0"/>
    <s v="A"/>
  </r>
  <r>
    <n v="225"/>
    <s v="Ashish"/>
    <x v="0"/>
    <x v="6"/>
    <n v="70"/>
    <n v="62"/>
    <n v="60"/>
    <n v="66"/>
    <s v="No"/>
    <n v="8"/>
    <n v="5"/>
    <n v="188"/>
    <x v="23"/>
    <x v="0"/>
    <n v="31.333333333333332"/>
    <s v="No"/>
    <s v="Normal Students"/>
    <s v="Unbalanced Student"/>
    <x v="1"/>
    <s v="C"/>
  </r>
  <r>
    <n v="226"/>
    <s v="Kirti"/>
    <x v="1"/>
    <x v="3"/>
    <n v="88"/>
    <n v="84"/>
    <n v="83"/>
    <n v="86"/>
    <s v="Yes"/>
    <n v="7"/>
    <n v="3"/>
    <n v="253"/>
    <x v="6"/>
    <x v="1"/>
    <n v="21.083333333333332"/>
    <s v="No"/>
    <s v="Normal Students"/>
    <s v="Balanced Student"/>
    <x v="0"/>
    <s v="A"/>
  </r>
  <r>
    <n v="227"/>
    <s v="Nakul"/>
    <x v="0"/>
    <x v="0"/>
    <n v="82"/>
    <n v="76"/>
    <n v="75"/>
    <n v="80"/>
    <s v="No"/>
    <n v="7"/>
    <n v="4"/>
    <n v="231"/>
    <x v="12"/>
    <x v="0"/>
    <n v="25.666666666666668"/>
    <s v="No"/>
    <s v="Normal Students"/>
    <s v="Unbalanced Student"/>
    <x v="0"/>
    <s v="B"/>
  </r>
  <r>
    <n v="228"/>
    <s v="Sapna"/>
    <x v="1"/>
    <x v="1"/>
    <n v="91"/>
    <n v="87"/>
    <n v="88"/>
    <n v="90"/>
    <s v="Yes"/>
    <n v="6"/>
    <n v="2"/>
    <n v="265"/>
    <x v="13"/>
    <x v="1"/>
    <n v="17.666666666666664"/>
    <s v="No"/>
    <s v="Normal Students"/>
    <s v="Balanced Student"/>
    <x v="0"/>
    <s v="A"/>
  </r>
  <r>
    <n v="229"/>
    <s v="Ritesh"/>
    <x v="0"/>
    <x v="6"/>
    <n v="68"/>
    <n v="60"/>
    <n v="58"/>
    <n v="64"/>
    <s v="No"/>
    <n v="8"/>
    <n v="5"/>
    <n v="182"/>
    <x v="36"/>
    <x v="0"/>
    <n v="30.333333333333332"/>
    <s v="No"/>
    <s v="Normal Students"/>
    <s v="Unbalanced Student"/>
    <x v="1"/>
    <s v="C"/>
  </r>
  <r>
    <n v="230"/>
    <s v="Garima"/>
    <x v="1"/>
    <x v="3"/>
    <n v="85"/>
    <n v="81"/>
    <n v="82"/>
    <n v="84"/>
    <s v="Yes"/>
    <n v="7"/>
    <n v="3"/>
    <n v="247"/>
    <x v="19"/>
    <x v="1"/>
    <n v="20.583333333333332"/>
    <s v="No"/>
    <s v="Normal Students"/>
    <s v="Balanced Student"/>
    <x v="0"/>
    <s v="A"/>
  </r>
  <r>
    <n v="231"/>
    <s v="Vishal"/>
    <x v="0"/>
    <x v="4"/>
    <n v="94"/>
    <n v="91"/>
    <n v="90"/>
    <n v="92"/>
    <s v="No"/>
    <n v="6"/>
    <n v="2"/>
    <n v="273"/>
    <x v="26"/>
    <x v="1"/>
    <n v="15.166666666666666"/>
    <s v="No"/>
    <s v="Normal Students"/>
    <s v="Balanced Student"/>
    <x v="0"/>
    <s v="A"/>
  </r>
  <r>
    <n v="232"/>
    <s v="Preeti"/>
    <x v="1"/>
    <x v="0"/>
    <n v="79"/>
    <n v="74"/>
    <n v="72"/>
    <n v="77"/>
    <s v="Yes"/>
    <n v="7"/>
    <n v="4"/>
    <n v="223"/>
    <x v="38"/>
    <x v="0"/>
    <n v="24.777777777777775"/>
    <s v="No"/>
    <s v="Normal Students"/>
    <s v="Unbalanced Student"/>
    <x v="1"/>
    <s v="B"/>
  </r>
  <r>
    <n v="233"/>
    <s v="Rohini"/>
    <x v="1"/>
    <x v="1"/>
    <n v="90"/>
    <n v="86"/>
    <n v="88"/>
    <n v="89"/>
    <s v="Yes"/>
    <n v="6"/>
    <n v="2"/>
    <n v="263"/>
    <x v="1"/>
    <x v="1"/>
    <n v="17.533333333333335"/>
    <s v="No"/>
    <s v="Normal Students"/>
    <s v="Balanced Student"/>
    <x v="0"/>
    <s v="A"/>
  </r>
  <r>
    <n v="234"/>
    <s v="Karan"/>
    <x v="0"/>
    <x v="0"/>
    <n v="80"/>
    <n v="75"/>
    <n v="73"/>
    <n v="78"/>
    <s v="No"/>
    <n v="7"/>
    <n v="4"/>
    <n v="226"/>
    <x v="29"/>
    <x v="0"/>
    <n v="25.111111111111111"/>
    <s v="No"/>
    <s v="Normal Students"/>
    <s v="Unbalanced Student"/>
    <x v="0"/>
    <s v="B"/>
  </r>
  <r>
    <n v="235"/>
    <s v="Aarti"/>
    <x v="1"/>
    <x v="3"/>
    <n v="87"/>
    <n v="83"/>
    <n v="81"/>
    <n v="85"/>
    <s v="Yes"/>
    <n v="6"/>
    <n v="3"/>
    <n v="249"/>
    <x v="30"/>
    <x v="1"/>
    <n v="20.75"/>
    <s v="No"/>
    <s v="Normal Students"/>
    <s v="Balanced Student"/>
    <x v="0"/>
    <s v="A"/>
  </r>
  <r>
    <n v="236"/>
    <s v="Deepesh"/>
    <x v="0"/>
    <x v="6"/>
    <n v="70"/>
    <n v="62"/>
    <n v="60"/>
    <n v="66"/>
    <s v="No"/>
    <n v="8"/>
    <n v="5"/>
    <n v="188"/>
    <x v="23"/>
    <x v="0"/>
    <n v="31.333333333333332"/>
    <s v="No"/>
    <s v="Normal Students"/>
    <s v="Unbalanced Student"/>
    <x v="1"/>
    <s v="C"/>
  </r>
  <r>
    <n v="237"/>
    <s v="Monika"/>
    <x v="1"/>
    <x v="1"/>
    <n v="92"/>
    <n v="88"/>
    <n v="90"/>
    <n v="91"/>
    <s v="Yes"/>
    <n v="6"/>
    <n v="2"/>
    <n v="269"/>
    <x v="21"/>
    <x v="1"/>
    <n v="17.933333333333334"/>
    <s v="No"/>
    <s v="Normal Students"/>
    <s v="Balanced Student"/>
    <x v="0"/>
    <s v="A"/>
  </r>
  <r>
    <n v="238"/>
    <s v="Sameer"/>
    <x v="0"/>
    <x v="0"/>
    <n v="78"/>
    <n v="72"/>
    <n v="70"/>
    <n v="75"/>
    <s v="Yes"/>
    <n v="7"/>
    <n v="4"/>
    <n v="217"/>
    <x v="16"/>
    <x v="0"/>
    <n v="24.111111111111111"/>
    <s v="No"/>
    <s v="Normal Students"/>
    <s v="Unbalanced Student"/>
    <x v="1"/>
    <s v="B"/>
  </r>
  <r>
    <n v="239"/>
    <s v="Nandini"/>
    <x v="1"/>
    <x v="3"/>
    <n v="85"/>
    <n v="80"/>
    <n v="82"/>
    <n v="84"/>
    <s v="Yes"/>
    <n v="7"/>
    <n v="3"/>
    <n v="246"/>
    <x v="3"/>
    <x v="1"/>
    <n v="20.5"/>
    <s v="No"/>
    <s v="Normal Students"/>
    <s v="Balanced Student"/>
    <x v="0"/>
    <s v="A"/>
  </r>
  <r>
    <n v="240"/>
    <s v="Kapil"/>
    <x v="0"/>
    <x v="4"/>
    <n v="94"/>
    <n v="91"/>
    <n v="90"/>
    <n v="92"/>
    <s v="No"/>
    <n v="6"/>
    <n v="2"/>
    <n v="273"/>
    <x v="26"/>
    <x v="1"/>
    <n v="15.166666666666666"/>
    <s v="No"/>
    <s v="Normal Students"/>
    <s v="Balanced Student"/>
    <x v="0"/>
    <s v="A"/>
  </r>
  <r>
    <n v="241"/>
    <s v="Shruti"/>
    <x v="1"/>
    <x v="0"/>
    <n v="79"/>
    <n v="74"/>
    <n v="72"/>
    <n v="76"/>
    <s v="Yes"/>
    <n v="7"/>
    <n v="4"/>
    <n v="222"/>
    <x v="27"/>
    <x v="0"/>
    <n v="24.666666666666668"/>
    <s v="No"/>
    <s v="Normal Students"/>
    <s v="Unbalanced Student"/>
    <x v="1"/>
    <s v="B"/>
  </r>
  <r>
    <n v="242"/>
    <s v="Anmol"/>
    <x v="0"/>
    <x v="6"/>
    <n v="72"/>
    <n v="65"/>
    <n v="64"/>
    <n v="68"/>
    <s v="No"/>
    <n v="8"/>
    <n v="5"/>
    <n v="197"/>
    <x v="28"/>
    <x v="0"/>
    <n v="32.833333333333336"/>
    <s v="No"/>
    <s v="Normal Students"/>
    <s v="Unbalanced Student"/>
    <x v="1"/>
    <s v="C"/>
  </r>
  <r>
    <n v="243"/>
    <s v="Juhi"/>
    <x v="1"/>
    <x v="1"/>
    <n v="90"/>
    <n v="86"/>
    <n v="88"/>
    <n v="89"/>
    <s v="Yes"/>
    <n v="6"/>
    <n v="2"/>
    <n v="263"/>
    <x v="1"/>
    <x v="1"/>
    <n v="17.533333333333335"/>
    <s v="No"/>
    <s v="Normal Students"/>
    <s v="Balanced Student"/>
    <x v="0"/>
    <s v="A"/>
  </r>
  <r>
    <n v="244"/>
    <s v="Rajeev"/>
    <x v="0"/>
    <x v="0"/>
    <n v="80"/>
    <n v="75"/>
    <n v="73"/>
    <n v="78"/>
    <s v="No"/>
    <n v="7"/>
    <n v="4"/>
    <n v="226"/>
    <x v="29"/>
    <x v="0"/>
    <n v="25.111111111111111"/>
    <s v="No"/>
    <s v="Normal Students"/>
    <s v="Unbalanced Student"/>
    <x v="0"/>
    <s v="B"/>
  </r>
  <r>
    <n v="245"/>
    <s v="Pinky"/>
    <x v="1"/>
    <x v="3"/>
    <n v="87"/>
    <n v="83"/>
    <n v="81"/>
    <n v="85"/>
    <s v="Yes"/>
    <n v="6"/>
    <n v="3"/>
    <n v="249"/>
    <x v="30"/>
    <x v="1"/>
    <n v="20.75"/>
    <s v="No"/>
    <s v="Normal Students"/>
    <s v="Balanced Student"/>
    <x v="0"/>
    <s v="A"/>
  </r>
  <r>
    <n v="246"/>
    <s v="Aman"/>
    <x v="0"/>
    <x v="6"/>
    <n v="70"/>
    <n v="62"/>
    <n v="60"/>
    <n v="66"/>
    <s v="No"/>
    <n v="8"/>
    <n v="5"/>
    <n v="188"/>
    <x v="23"/>
    <x v="0"/>
    <n v="31.333333333333332"/>
    <s v="No"/>
    <s v="Normal Students"/>
    <s v="Unbalanced Student"/>
    <x v="1"/>
    <s v="C"/>
  </r>
  <r>
    <n v="247"/>
    <s v="Kriti"/>
    <x v="1"/>
    <x v="1"/>
    <n v="92"/>
    <n v="88"/>
    <n v="90"/>
    <n v="91"/>
    <s v="Yes"/>
    <n v="6"/>
    <n v="2"/>
    <n v="269"/>
    <x v="21"/>
    <x v="1"/>
    <n v="17.933333333333334"/>
    <s v="No"/>
    <s v="Normal Students"/>
    <s v="Balanced Student"/>
    <x v="0"/>
    <s v="A"/>
  </r>
  <r>
    <n v="248"/>
    <s v="Rohit"/>
    <x v="0"/>
    <x v="0"/>
    <n v="78"/>
    <n v="72"/>
    <n v="70"/>
    <n v="75"/>
    <s v="Yes"/>
    <n v="7"/>
    <n v="4"/>
    <n v="217"/>
    <x v="16"/>
    <x v="0"/>
    <n v="24.111111111111111"/>
    <s v="No"/>
    <s v="Normal Students"/>
    <s v="Unbalanced Student"/>
    <x v="1"/>
    <s v="B"/>
  </r>
  <r>
    <n v="249"/>
    <s v="Sonia"/>
    <x v="1"/>
    <x v="3"/>
    <n v="85"/>
    <n v="80"/>
    <n v="82"/>
    <n v="84"/>
    <s v="Yes"/>
    <n v="7"/>
    <n v="3"/>
    <n v="246"/>
    <x v="3"/>
    <x v="1"/>
    <n v="20.5"/>
    <s v="No"/>
    <s v="Normal Students"/>
    <s v="Balanced Student"/>
    <x v="0"/>
    <s v="A"/>
  </r>
  <r>
    <n v="250"/>
    <s v="Nikhil"/>
    <x v="0"/>
    <x v="4"/>
    <n v="94"/>
    <n v="91"/>
    <n v="90"/>
    <n v="92"/>
    <s v="No"/>
    <n v="6"/>
    <n v="2"/>
    <n v="273"/>
    <x v="26"/>
    <x v="1"/>
    <n v="15.166666666666666"/>
    <s v="No"/>
    <s v="Normal Students"/>
    <s v="Balanced Student"/>
    <x v="0"/>
    <s v="A"/>
  </r>
  <r>
    <n v="251"/>
    <s v="Unknown"/>
    <x v="0"/>
    <x v="0"/>
    <n v="80"/>
    <n v="75"/>
    <n v="73"/>
    <n v="78"/>
    <s v="Yes"/>
    <n v="7"/>
    <n v="4"/>
    <n v="226"/>
    <x v="29"/>
    <x v="0"/>
    <n v="25.111111111111111"/>
    <s v="No"/>
    <s v="Normal Students"/>
    <s v="Unbalanced Student"/>
    <x v="0"/>
    <s v="B"/>
  </r>
  <r>
    <n v="252"/>
    <s v="riya"/>
    <x v="1"/>
    <x v="1"/>
    <n v="90"/>
    <n v="86"/>
    <n v="88"/>
    <n v="89"/>
    <s v="Yes"/>
    <n v="6"/>
    <n v="2"/>
    <n v="263"/>
    <x v="1"/>
    <x v="1"/>
    <n v="17.533333333333335"/>
    <s v="No"/>
    <s v="Normal Students"/>
    <s v="Balanced Student"/>
    <x v="0"/>
    <s v="A"/>
  </r>
  <r>
    <n v="253"/>
    <s v="Kunal"/>
    <x v="0"/>
    <x v="2"/>
    <n v="85"/>
    <n v="80"/>
    <n v="82"/>
    <n v="84"/>
    <s v="Yes"/>
    <n v="7"/>
    <n v="3"/>
    <n v="246"/>
    <x v="3"/>
    <x v="1"/>
    <n v="0"/>
    <s v="No"/>
    <s v="Smart Students"/>
    <s v="Balanced Student"/>
    <x v="0"/>
    <s v="A"/>
  </r>
  <r>
    <n v="254"/>
    <s v="ANIL"/>
    <x v="0"/>
    <x v="6"/>
    <n v="70"/>
    <n v="62"/>
    <n v="60"/>
    <n v="66"/>
    <s v="No"/>
    <n v="8"/>
    <n v="5"/>
    <n v="188"/>
    <x v="23"/>
    <x v="0"/>
    <n v="31.333333333333332"/>
    <s v="No"/>
    <s v="Normal Students"/>
    <s v="Unbalanced Student"/>
    <x v="1"/>
    <s v="C"/>
  </r>
  <r>
    <n v="255"/>
    <s v="Priya"/>
    <x v="1"/>
    <x v="1"/>
    <n v="92"/>
    <n v="88"/>
    <n v="90"/>
    <n v="91"/>
    <s v="Yes"/>
    <n v="0"/>
    <n v="2"/>
    <n v="269"/>
    <x v="21"/>
    <x v="1"/>
    <n v="17.933333333333334"/>
    <s v="No"/>
    <s v="Normal Students"/>
    <s v="Unbalanced Student"/>
    <x v="0"/>
    <s v="A"/>
  </r>
  <r>
    <n v="256"/>
    <s v="Rohit"/>
    <x v="0"/>
    <x v="0"/>
    <n v="78"/>
    <n v="72"/>
    <n v="70"/>
    <n v="75"/>
    <s v="Yes"/>
    <n v="7"/>
    <n v="4"/>
    <n v="217"/>
    <x v="16"/>
    <x v="0"/>
    <n v="24.111111111111111"/>
    <s v="No"/>
    <s v="Normal Students"/>
    <s v="Unbalanced Student"/>
    <x v="1"/>
    <s v="B"/>
  </r>
  <r>
    <n v="257"/>
    <s v="riya"/>
    <x v="1"/>
    <x v="1"/>
    <n v="90"/>
    <n v="86"/>
    <n v="88"/>
    <n v="89"/>
    <s v="Yes"/>
    <n v="6"/>
    <n v="2"/>
    <n v="263"/>
    <x v="1"/>
    <x v="1"/>
    <n v="17.533333333333335"/>
    <s v="No"/>
    <s v="Normal Students"/>
    <s v="Balanced Student"/>
    <x v="0"/>
    <s v="A"/>
  </r>
  <r>
    <n v="258"/>
    <s v="Kunal"/>
    <x v="0"/>
    <x v="2"/>
    <n v="85"/>
    <n v="80"/>
    <n v="82"/>
    <n v="84"/>
    <s v="Yes"/>
    <n v="7"/>
    <n v="3"/>
    <n v="246"/>
    <x v="3"/>
    <x v="1"/>
    <n v="0"/>
    <s v="No"/>
    <s v="Smart Students"/>
    <s v="Balanced Student"/>
    <x v="0"/>
    <s v="A"/>
  </r>
  <r>
    <n v="259"/>
    <s v="ANIL"/>
    <x v="0"/>
    <x v="6"/>
    <n v="70"/>
    <n v="62"/>
    <n v="60"/>
    <n v="66"/>
    <s v="No"/>
    <n v="8"/>
    <n v="5"/>
    <n v="188"/>
    <x v="23"/>
    <x v="0"/>
    <n v="31.333333333333332"/>
    <s v="No"/>
    <s v="Normal Students"/>
    <s v="Unbalanced Student"/>
    <x v="1"/>
    <s v="C"/>
  </r>
  <r>
    <n v="260"/>
    <s v="Priya"/>
    <x v="1"/>
    <x v="1"/>
    <n v="92"/>
    <n v="88"/>
    <n v="90"/>
    <n v="91"/>
    <s v="Yes"/>
    <n v="0"/>
    <n v="2"/>
    <n v="269"/>
    <x v="21"/>
    <x v="1"/>
    <n v="17.933333333333334"/>
    <s v="No"/>
    <s v="Normal Students"/>
    <s v="Unbalanced Student"/>
    <x v="0"/>
    <s v="A"/>
  </r>
  <r>
    <n v="261"/>
    <s v="Sneha"/>
    <x v="1"/>
    <x v="3"/>
    <n v="87"/>
    <n v="83"/>
    <n v="81"/>
    <n v="85"/>
    <s v="Yes"/>
    <n v="6"/>
    <n v="3"/>
    <n v="249"/>
    <x v="30"/>
    <x v="1"/>
    <n v="20.75"/>
    <s v="No"/>
    <s v="Normal Students"/>
    <s v="Balanced Student"/>
    <x v="0"/>
    <s v="A"/>
  </r>
  <r>
    <n v="262"/>
    <s v="Unknown"/>
    <x v="0"/>
    <x v="6"/>
    <n v="68"/>
    <n v="60"/>
    <n v="58"/>
    <n v="64"/>
    <s v="No"/>
    <n v="8"/>
    <n v="5"/>
    <n v="182"/>
    <x v="36"/>
    <x v="0"/>
    <n v="30.333333333333332"/>
    <s v="No"/>
    <s v="Normal Students"/>
    <s v="Unbalanced Student"/>
    <x v="1"/>
    <s v="C"/>
  </r>
  <r>
    <n v="263"/>
    <s v="Kriti"/>
    <x v="1"/>
    <x v="1"/>
    <n v="91"/>
    <n v="87"/>
    <n v="88"/>
    <n v="90"/>
    <s v="Yes"/>
    <n v="6"/>
    <n v="2"/>
    <n v="265"/>
    <x v="13"/>
    <x v="1"/>
    <n v="17.666666666666664"/>
    <s v="No"/>
    <s v="Normal Students"/>
    <s v="Balanced Student"/>
    <x v="0"/>
    <s v="A"/>
  </r>
  <r>
    <n v="264"/>
    <s v="Nikhil"/>
    <x v="0"/>
    <x v="4"/>
    <n v="94"/>
    <n v="91"/>
    <n v="90"/>
    <n v="92"/>
    <s v="No"/>
    <n v="6"/>
    <n v="2"/>
    <n v="273"/>
    <x v="26"/>
    <x v="1"/>
    <n v="15.166666666666666"/>
    <s v="No"/>
    <s v="Normal Students"/>
    <s v="Balanced Student"/>
    <x v="0"/>
    <s v="A"/>
  </r>
  <r>
    <n v="265"/>
    <s v="Rahul"/>
    <x v="0"/>
    <x v="0"/>
    <n v="80"/>
    <n v="75"/>
    <n v="73"/>
    <n v="78"/>
    <s v="Yes"/>
    <n v="7"/>
    <n v="4"/>
    <n v="226"/>
    <x v="29"/>
    <x v="0"/>
    <n v="25.111111111111111"/>
    <s v="No"/>
    <s v="Normal Students"/>
    <s v="Unbalanced Student"/>
    <x v="0"/>
    <s v="B"/>
  </r>
  <r>
    <n v="266"/>
    <s v="Pooja"/>
    <x v="1"/>
    <x v="3"/>
    <n v="85"/>
    <n v="80"/>
    <n v="82"/>
    <n v="84"/>
    <s v="Yes"/>
    <n v="7"/>
    <n v="3"/>
    <n v="246"/>
    <x v="3"/>
    <x v="1"/>
    <n v="20.5"/>
    <s v="No"/>
    <s v="Normal Students"/>
    <s v="Balanced Student"/>
    <x v="0"/>
    <s v="A"/>
  </r>
  <r>
    <n v="267"/>
    <s v="Deepak"/>
    <x v="0"/>
    <x v="6"/>
    <n v="70"/>
    <n v="62"/>
    <n v="60"/>
    <n v="66"/>
    <s v="No"/>
    <n v="8"/>
    <n v="5"/>
    <n v="188"/>
    <x v="23"/>
    <x v="0"/>
    <n v="31.333333333333332"/>
    <s v="No"/>
    <s v="Normal Students"/>
    <s v="Unbalanced Student"/>
    <x v="1"/>
    <s v="C"/>
  </r>
  <r>
    <n v="268"/>
    <s v="Aisha"/>
    <x v="1"/>
    <x v="1"/>
    <n v="92"/>
    <n v="88"/>
    <n v="90"/>
    <n v="91"/>
    <s v="Yes"/>
    <n v="6"/>
    <n v="2"/>
    <n v="269"/>
    <x v="21"/>
    <x v="1"/>
    <n v="17.933333333333334"/>
    <s v="No"/>
    <s v="Normal Students"/>
    <s v="Balanced Student"/>
    <x v="0"/>
    <s v="A"/>
  </r>
  <r>
    <n v="269"/>
    <s v="Varun"/>
    <x v="0"/>
    <x v="5"/>
    <n v="62"/>
    <n v="52"/>
    <n v="50"/>
    <n v="57"/>
    <s v="No"/>
    <n v="8"/>
    <n v="6"/>
    <n v="159"/>
    <x v="31"/>
    <x v="2"/>
    <n v="53"/>
    <s v="Yes"/>
    <s v="Normal Students"/>
    <s v="Unbalanced Student"/>
    <x v="1"/>
    <s v="D"/>
  </r>
  <r>
    <n v="270"/>
    <s v="Megha"/>
    <x v="1"/>
    <x v="3"/>
    <n v="87"/>
    <n v="83"/>
    <n v="81"/>
    <n v="85"/>
    <s v="Yes"/>
    <n v="6"/>
    <n v="3"/>
    <n v="249"/>
    <x v="30"/>
    <x v="1"/>
    <n v="20.75"/>
    <s v="No"/>
    <s v="Normal Students"/>
    <s v="Balanced Student"/>
    <x v="0"/>
    <s v="A"/>
  </r>
  <r>
    <n v="271"/>
    <s v="Karan"/>
    <x v="0"/>
    <x v="0"/>
    <n v="82"/>
    <n v="76"/>
    <n v="75"/>
    <n v="80"/>
    <s v="No"/>
    <n v="7"/>
    <n v="4"/>
    <n v="231"/>
    <x v="12"/>
    <x v="0"/>
    <n v="25.666666666666668"/>
    <s v="No"/>
    <s v="Normal Students"/>
    <s v="Unbalanced Student"/>
    <x v="0"/>
    <s v="B"/>
  </r>
  <r>
    <n v="272"/>
    <s v="Divya"/>
    <x v="1"/>
    <x v="3"/>
    <n v="85"/>
    <n v="80"/>
    <n v="82"/>
    <n v="84"/>
    <s v="Yes"/>
    <n v="7"/>
    <n v="3"/>
    <n v="246"/>
    <x v="3"/>
    <x v="1"/>
    <n v="20.5"/>
    <s v="No"/>
    <s v="Normal Students"/>
    <s v="Balanced Student"/>
    <x v="0"/>
    <s v="A"/>
  </r>
  <r>
    <n v="273"/>
    <s v="Sunil"/>
    <x v="0"/>
    <x v="4"/>
    <n v="94"/>
    <n v="91"/>
    <n v="90"/>
    <n v="92"/>
    <s v="No"/>
    <n v="6"/>
    <n v="2"/>
    <n v="273"/>
    <x v="26"/>
    <x v="1"/>
    <n v="15.166666666666666"/>
    <s v="No"/>
    <s v="Normal Students"/>
    <s v="Balanced Student"/>
    <x v="0"/>
    <s v="A"/>
  </r>
  <r>
    <n v="274"/>
    <s v="Reena"/>
    <x v="1"/>
    <x v="0"/>
    <n v="79"/>
    <n v="74"/>
    <n v="72"/>
    <n v="76"/>
    <s v="Yes"/>
    <n v="7"/>
    <n v="4"/>
    <n v="222"/>
    <x v="27"/>
    <x v="0"/>
    <n v="24.666666666666668"/>
    <s v="No"/>
    <s v="Normal Students"/>
    <s v="Unbalanced Student"/>
    <x v="1"/>
    <s v="B"/>
  </r>
  <r>
    <n v="275"/>
    <s v="Aman"/>
    <x v="0"/>
    <x v="6"/>
    <n v="70"/>
    <n v="62"/>
    <n v="60"/>
    <n v="66"/>
    <s v="No"/>
    <n v="8"/>
    <n v="5"/>
    <n v="188"/>
    <x v="23"/>
    <x v="0"/>
    <n v="31.333333333333332"/>
    <s v="No"/>
    <s v="Normal Students"/>
    <s v="Unbalanced Student"/>
    <x v="1"/>
    <s v="C"/>
  </r>
  <r>
    <n v="276"/>
    <s v="Kavya"/>
    <x v="1"/>
    <x v="1"/>
    <n v="90"/>
    <n v="86"/>
    <n v="88"/>
    <n v="89"/>
    <s v="Yes"/>
    <n v="6"/>
    <n v="2"/>
    <n v="263"/>
    <x v="1"/>
    <x v="1"/>
    <n v="17.533333333333335"/>
    <s v="No"/>
    <s v="Normal Students"/>
    <s v="Balanced Student"/>
    <x v="0"/>
    <s v="A"/>
  </r>
  <r>
    <n v="277"/>
    <s v="Raj"/>
    <x v="0"/>
    <x v="0"/>
    <n v="80"/>
    <n v="75"/>
    <n v="73"/>
    <n v="78"/>
    <s v="Yes"/>
    <n v="7"/>
    <n v="4"/>
    <n v="226"/>
    <x v="29"/>
    <x v="0"/>
    <n v="25.111111111111111"/>
    <s v="No"/>
    <s v="Normal Students"/>
    <s v="Unbalanced Student"/>
    <x v="0"/>
    <s v="B"/>
  </r>
  <r>
    <n v="278"/>
    <s v="Pallavi"/>
    <x v="1"/>
    <x v="3"/>
    <n v="87"/>
    <n v="83"/>
    <n v="81"/>
    <n v="85"/>
    <s v="Yes"/>
    <n v="6"/>
    <n v="3"/>
    <n v="249"/>
    <x v="30"/>
    <x v="1"/>
    <n v="20.75"/>
    <s v="No"/>
    <s v="Normal Students"/>
    <s v="Balanced Student"/>
    <x v="0"/>
    <s v="A"/>
  </r>
  <r>
    <n v="279"/>
    <s v="Manish"/>
    <x v="0"/>
    <x v="6"/>
    <n v="68"/>
    <n v="60"/>
    <n v="58"/>
    <n v="64"/>
    <s v="No"/>
    <n v="8"/>
    <n v="5"/>
    <n v="182"/>
    <x v="36"/>
    <x v="0"/>
    <n v="30.333333333333332"/>
    <s v="No"/>
    <s v="Normal Students"/>
    <s v="Unbalanced Student"/>
    <x v="1"/>
    <s v="C"/>
  </r>
  <r>
    <n v="280"/>
    <s v="Ritu"/>
    <x v="1"/>
    <x v="1"/>
    <n v="92"/>
    <n v="88"/>
    <n v="90"/>
    <n v="91"/>
    <s v="Yes"/>
    <n v="6"/>
    <n v="2"/>
    <n v="269"/>
    <x v="21"/>
    <x v="1"/>
    <n v="17.933333333333334"/>
    <s v="No"/>
    <s v="Normal Students"/>
    <s v="Balanced Student"/>
    <x v="0"/>
    <s v="A"/>
  </r>
  <r>
    <n v="281"/>
    <s v="Ajay"/>
    <x v="0"/>
    <x v="0"/>
    <n v="78"/>
    <n v="72"/>
    <n v="70"/>
    <n v="75"/>
    <s v="Yes"/>
    <n v="7"/>
    <n v="4"/>
    <n v="217"/>
    <x v="16"/>
    <x v="0"/>
    <n v="24.111111111111111"/>
    <s v="No"/>
    <s v="Normal Students"/>
    <s v="Unbalanced Student"/>
    <x v="1"/>
    <s v="B"/>
  </r>
  <r>
    <n v="282"/>
    <s v="Nisha"/>
    <x v="1"/>
    <x v="3"/>
    <n v="85"/>
    <n v="80"/>
    <n v="82"/>
    <n v="84"/>
    <s v="Yes"/>
    <n v="7"/>
    <n v="3"/>
    <n v="246"/>
    <x v="3"/>
    <x v="1"/>
    <n v="20.5"/>
    <s v="No"/>
    <s v="Normal Students"/>
    <s v="Balanced Student"/>
    <x v="0"/>
    <s v="A"/>
  </r>
  <r>
    <n v="283"/>
    <s v="Vikas"/>
    <x v="0"/>
    <x v="4"/>
    <n v="94"/>
    <n v="91"/>
    <n v="90"/>
    <n v="92"/>
    <s v="No"/>
    <n v="6"/>
    <n v="2"/>
    <n v="273"/>
    <x v="26"/>
    <x v="1"/>
    <n v="15.166666666666666"/>
    <s v="No"/>
    <s v="Normal Students"/>
    <s v="Balanced Student"/>
    <x v="0"/>
    <s v="A"/>
  </r>
  <r>
    <n v="284"/>
    <s v="Shreya"/>
    <x v="1"/>
    <x v="0"/>
    <n v="79"/>
    <n v="74"/>
    <n v="72"/>
    <n v="76"/>
    <s v="Yes"/>
    <n v="7"/>
    <n v="4"/>
    <n v="222"/>
    <x v="27"/>
    <x v="0"/>
    <n v="24.666666666666668"/>
    <s v="No"/>
    <s v="Normal Students"/>
    <s v="Unbalanced Student"/>
    <x v="1"/>
    <s v="B"/>
  </r>
  <r>
    <n v="285"/>
    <s v="Arjun"/>
    <x v="0"/>
    <x v="6"/>
    <n v="70"/>
    <n v="62"/>
    <n v="60"/>
    <n v="66"/>
    <s v="No"/>
    <n v="8"/>
    <n v="5"/>
    <n v="188"/>
    <x v="23"/>
    <x v="0"/>
    <n v="31.333333333333332"/>
    <s v="No"/>
    <s v="Normal Students"/>
    <s v="Unbalanced Student"/>
    <x v="1"/>
    <s v="C"/>
  </r>
  <r>
    <n v="286"/>
    <s v="Komal"/>
    <x v="1"/>
    <x v="1"/>
    <n v="90"/>
    <n v="86"/>
    <n v="88"/>
    <n v="89"/>
    <s v="Yes"/>
    <n v="6"/>
    <n v="2"/>
    <n v="263"/>
    <x v="1"/>
    <x v="1"/>
    <n v="17.533333333333335"/>
    <s v="No"/>
    <s v="Normal Students"/>
    <s v="Balanced Student"/>
    <x v="0"/>
    <s v="A"/>
  </r>
  <r>
    <n v="287"/>
    <s v="Yash"/>
    <x v="0"/>
    <x v="0"/>
    <n v="82"/>
    <n v="76"/>
    <n v="75"/>
    <n v="80"/>
    <s v="No"/>
    <n v="7"/>
    <n v="4"/>
    <n v="231"/>
    <x v="12"/>
    <x v="0"/>
    <n v="25.666666666666668"/>
    <s v="No"/>
    <s v="Normal Students"/>
    <s v="Unbalanced Student"/>
    <x v="0"/>
    <s v="B"/>
  </r>
  <r>
    <n v="288"/>
    <s v="Simran"/>
    <x v="1"/>
    <x v="3"/>
    <n v="87"/>
    <n v="83"/>
    <n v="81"/>
    <n v="85"/>
    <s v="Yes"/>
    <n v="6"/>
    <n v="3"/>
    <n v="249"/>
    <x v="30"/>
    <x v="1"/>
    <n v="20.75"/>
    <s v="No"/>
    <s v="Normal Students"/>
    <s v="Balanced Student"/>
    <x v="0"/>
    <s v="A"/>
  </r>
  <r>
    <n v="289"/>
    <s v="Ravi"/>
    <x v="0"/>
    <x v="6"/>
    <n v="68"/>
    <n v="60"/>
    <n v="58"/>
    <n v="64"/>
    <s v="No"/>
    <n v="8"/>
    <n v="5"/>
    <n v="182"/>
    <x v="36"/>
    <x v="0"/>
    <n v="30.333333333333332"/>
    <s v="No"/>
    <s v="Normal Students"/>
    <s v="Unbalanced Student"/>
    <x v="1"/>
    <s v="C"/>
  </r>
  <r>
    <n v="290"/>
    <s v="Sonia"/>
    <x v="1"/>
    <x v="1"/>
    <n v="92"/>
    <n v="88"/>
    <n v="90"/>
    <n v="91"/>
    <s v="Yes"/>
    <n v="6"/>
    <n v="2"/>
    <n v="269"/>
    <x v="21"/>
    <x v="1"/>
    <n v="17.933333333333334"/>
    <s v="No"/>
    <s v="Normal Students"/>
    <s v="Balanced Student"/>
    <x v="0"/>
    <s v="A"/>
  </r>
  <r>
    <n v="291"/>
    <s v="Kunal"/>
    <x v="0"/>
    <x v="0"/>
    <n v="78"/>
    <n v="72"/>
    <n v="70"/>
    <n v="75"/>
    <s v="Yes"/>
    <n v="7"/>
    <n v="4"/>
    <n v="217"/>
    <x v="16"/>
    <x v="0"/>
    <n v="24.111111111111111"/>
    <s v="No"/>
    <s v="Normal Students"/>
    <s v="Unbalanced Student"/>
    <x v="1"/>
    <s v="B"/>
  </r>
  <r>
    <n v="292"/>
    <s v="Ankit"/>
    <x v="0"/>
    <x v="3"/>
    <n v="85"/>
    <n v="80"/>
    <n v="82"/>
    <n v="84"/>
    <s v="Yes"/>
    <n v="7"/>
    <n v="3"/>
    <n v="246"/>
    <x v="3"/>
    <x v="1"/>
    <n v="20.5"/>
    <s v="No"/>
    <s v="Normal Students"/>
    <s v="Balanced Student"/>
    <x v="0"/>
    <s v="A"/>
  </r>
  <r>
    <n v="293"/>
    <s v="Neha"/>
    <x v="1"/>
    <x v="4"/>
    <n v="94"/>
    <n v="91"/>
    <n v="90"/>
    <n v="92"/>
    <s v="No"/>
    <n v="6"/>
    <n v="2"/>
    <n v="273"/>
    <x v="26"/>
    <x v="1"/>
    <n v="15.166666666666666"/>
    <s v="No"/>
    <s v="Normal Students"/>
    <s v="Balanced Student"/>
    <x v="0"/>
    <s v="A"/>
  </r>
  <r>
    <n v="294"/>
    <s v="Ramesh"/>
    <x v="0"/>
    <x v="6"/>
    <n v="70"/>
    <n v="62"/>
    <n v="60"/>
    <n v="66"/>
    <s v="No"/>
    <n v="8"/>
    <n v="5"/>
    <n v="188"/>
    <x v="23"/>
    <x v="0"/>
    <n v="31.333333333333332"/>
    <s v="No"/>
    <s v="Normal Students"/>
    <s v="Unbalanced Student"/>
    <x v="1"/>
    <s v="C"/>
  </r>
  <r>
    <n v="295"/>
    <s v="Aarti"/>
    <x v="1"/>
    <x v="1"/>
    <n v="90"/>
    <n v="86"/>
    <n v="88"/>
    <n v="89"/>
    <s v="Yes"/>
    <n v="6"/>
    <n v="2"/>
    <n v="263"/>
    <x v="1"/>
    <x v="1"/>
    <n v="17.533333333333335"/>
    <s v="No"/>
    <s v="Normal Students"/>
    <s v="Balanced Student"/>
    <x v="0"/>
    <s v="A"/>
  </r>
  <r>
    <n v="296"/>
    <s v="Sameer"/>
    <x v="0"/>
    <x v="0"/>
    <n v="82"/>
    <n v="76"/>
    <n v="75"/>
    <n v="80"/>
    <s v="No"/>
    <n v="7"/>
    <n v="4"/>
    <n v="231"/>
    <x v="12"/>
    <x v="0"/>
    <n v="25.666666666666668"/>
    <s v="No"/>
    <s v="Normal Students"/>
    <s v="Unbalanced Student"/>
    <x v="0"/>
    <s v="B"/>
  </r>
  <r>
    <n v="297"/>
    <s v="Priya"/>
    <x v="1"/>
    <x v="3"/>
    <n v="87"/>
    <n v="83"/>
    <n v="81"/>
    <n v="85"/>
    <s v="Yes"/>
    <n v="6"/>
    <n v="3"/>
    <n v="249"/>
    <x v="30"/>
    <x v="1"/>
    <n v="20.75"/>
    <s v="No"/>
    <s v="Normal Students"/>
    <s v="Balanced Student"/>
    <x v="0"/>
    <s v="A"/>
  </r>
  <r>
    <n v="298"/>
    <s v="Sunita"/>
    <x v="1"/>
    <x v="6"/>
    <n v="68"/>
    <n v="60"/>
    <n v="58"/>
    <n v="64"/>
    <s v="No"/>
    <n v="8"/>
    <n v="5"/>
    <n v="182"/>
    <x v="36"/>
    <x v="0"/>
    <n v="30.333333333333332"/>
    <s v="No"/>
    <s v="Normal Students"/>
    <s v="Unbalanced Student"/>
    <x v="1"/>
    <s v="C"/>
  </r>
  <r>
    <n v="299"/>
    <s v="Harsh"/>
    <x v="0"/>
    <x v="1"/>
    <n v="92"/>
    <n v="88"/>
    <n v="90"/>
    <n v="91"/>
    <s v="Yes"/>
    <n v="6"/>
    <n v="2"/>
    <n v="269"/>
    <x v="21"/>
    <x v="1"/>
    <n v="17.933333333333334"/>
    <s v="No"/>
    <s v="Normal Students"/>
    <s v="Balanced Student"/>
    <x v="0"/>
    <s v="A"/>
  </r>
  <r>
    <n v="300"/>
    <s v="Imran"/>
    <x v="0"/>
    <x v="0"/>
    <n v="78"/>
    <n v="72"/>
    <n v="70"/>
    <n v="75"/>
    <s v="Yes"/>
    <n v="7"/>
    <n v="4"/>
    <n v="217"/>
    <x v="16"/>
    <x v="0"/>
    <n v="24.111111111111111"/>
    <s v="No"/>
    <s v="Normal Students"/>
    <s v="Unbalanced Student"/>
    <x v="1"/>
    <s v="B"/>
  </r>
  <r>
    <n v="301"/>
    <s v="Unknown"/>
    <x v="1"/>
    <x v="3"/>
    <n v="85"/>
    <n v="80"/>
    <n v="82"/>
    <n v="84"/>
    <s v="Yes"/>
    <n v="7"/>
    <n v="3"/>
    <n v="246"/>
    <x v="3"/>
    <x v="1"/>
    <n v="20.5"/>
    <s v="No"/>
    <s v="Normal Students"/>
    <s v="Balanced Student"/>
    <x v="0"/>
    <s v="A"/>
  </r>
  <r>
    <n v="302"/>
    <s v="rahul"/>
    <x v="0"/>
    <x v="0"/>
    <n v="85"/>
    <n v="78"/>
    <n v="72"/>
    <n v="80"/>
    <s v="Yes"/>
    <n v="7"/>
    <n v="3"/>
    <n v="230"/>
    <x v="0"/>
    <x v="0"/>
    <n v="25.555555555555557"/>
    <s v="No"/>
    <s v="Normal Students"/>
    <s v="Unbalanced Student"/>
    <x v="0"/>
    <s v="B"/>
  </r>
  <r>
    <n v="303"/>
    <s v="Kriti"/>
    <x v="1"/>
    <x v="2"/>
    <n v="85"/>
    <n v="80"/>
    <n v="82"/>
    <n v="84"/>
    <s v="Yes"/>
    <n v="7"/>
    <n v="3"/>
    <n v="246"/>
    <x v="3"/>
    <x v="1"/>
    <n v="0"/>
    <s v="No"/>
    <s v="Smart Students"/>
    <s v="Balanced Student"/>
    <x v="0"/>
    <s v="A"/>
  </r>
  <r>
    <n v="304"/>
    <s v="ANANYA"/>
    <x v="1"/>
    <x v="3"/>
    <n v="88"/>
    <n v="82"/>
    <n v="79"/>
    <n v="85"/>
    <s v="Yes"/>
    <n v="7"/>
    <n v="3"/>
    <n v="246"/>
    <x v="3"/>
    <x v="1"/>
    <n v="20.5"/>
    <s v="No"/>
    <s v="Normal Students"/>
    <s v="Balanced Student"/>
    <x v="0"/>
    <s v="A"/>
  </r>
  <r>
    <n v="305"/>
    <s v="Rohit"/>
    <x v="0"/>
    <x v="0"/>
    <n v="78"/>
    <n v="72"/>
    <n v="70"/>
    <n v="75"/>
    <s v="Yes"/>
    <n v="7"/>
    <n v="4"/>
    <n v="217"/>
    <x v="16"/>
    <x v="0"/>
    <n v="24.111111111111111"/>
    <s v="No"/>
    <s v="Normal Students"/>
    <s v="Unbalanced Student"/>
    <x v="1"/>
    <s v="B"/>
  </r>
  <r>
    <n v="306"/>
    <s v="Aarush"/>
    <x v="0"/>
    <x v="3"/>
    <n v="88"/>
    <n v="82"/>
    <n v="80"/>
    <n v="85"/>
    <s v="Yes"/>
    <n v="7"/>
    <n v="3"/>
    <n v="247"/>
    <x v="19"/>
    <x v="1"/>
    <n v="20.583333333333332"/>
    <s v="No"/>
    <s v="Normal Students"/>
    <s v="Balanced Student"/>
    <x v="0"/>
    <s v="A"/>
  </r>
  <r>
    <n v="307"/>
    <s v="riya"/>
    <x v="1"/>
    <x v="1"/>
    <n v="90"/>
    <n v="86"/>
    <n v="88"/>
    <n v="89"/>
    <s v="Yes"/>
    <n v="6"/>
    <n v="2"/>
    <n v="263"/>
    <x v="1"/>
    <x v="1"/>
    <n v="17.533333333333335"/>
    <s v="No"/>
    <s v="Normal Students"/>
    <s v="Balanced Student"/>
    <x v="0"/>
    <s v="A"/>
  </r>
  <r>
    <n v="308"/>
    <s v="Kunal"/>
    <x v="0"/>
    <x v="2"/>
    <n v="85"/>
    <n v="80"/>
    <n v="82"/>
    <n v="84"/>
    <s v="Yes"/>
    <n v="7"/>
    <n v="3"/>
    <n v="246"/>
    <x v="3"/>
    <x v="1"/>
    <n v="0"/>
    <s v="No"/>
    <s v="Smart Students"/>
    <s v="Balanced Student"/>
    <x v="0"/>
    <s v="A"/>
  </r>
  <r>
    <n v="309"/>
    <s v="ANIL"/>
    <x v="0"/>
    <x v="6"/>
    <n v="70"/>
    <n v="62"/>
    <n v="60"/>
    <n v="66"/>
    <s v="No"/>
    <n v="8"/>
    <n v="5"/>
    <n v="188"/>
    <x v="23"/>
    <x v="0"/>
    <n v="31.333333333333332"/>
    <s v="No"/>
    <s v="Normal Students"/>
    <s v="Unbalanced Student"/>
    <x v="1"/>
    <s v="C"/>
  </r>
  <r>
    <n v="310"/>
    <s v="Priya"/>
    <x v="1"/>
    <x v="1"/>
    <n v="92"/>
    <n v="88"/>
    <n v="90"/>
    <n v="91"/>
    <s v="Yes"/>
    <n v="0"/>
    <n v="2"/>
    <n v="269"/>
    <x v="21"/>
    <x v="1"/>
    <n v="17.933333333333334"/>
    <s v="No"/>
    <s v="Normal Students"/>
    <s v="Unbalanced Student"/>
    <x v="0"/>
    <s v="A"/>
  </r>
  <r>
    <n v="311"/>
    <s v="Rohit"/>
    <x v="0"/>
    <x v="0"/>
    <n v="78"/>
    <n v="72"/>
    <n v="70"/>
    <n v="75"/>
    <s v="Yes"/>
    <n v="7"/>
    <n v="4"/>
    <n v="217"/>
    <x v="16"/>
    <x v="0"/>
    <n v="24.111111111111111"/>
    <s v="No"/>
    <s v="Normal Students"/>
    <s v="Unbalanced Student"/>
    <x v="1"/>
    <s v="B"/>
  </r>
  <r>
    <n v="312"/>
    <s v="Sneha"/>
    <x v="1"/>
    <x v="3"/>
    <n v="87"/>
    <n v="83"/>
    <n v="81"/>
    <n v="85"/>
    <s v="Yes"/>
    <n v="6"/>
    <n v="3"/>
    <n v="249"/>
    <x v="30"/>
    <x v="1"/>
    <n v="20.75"/>
    <s v="No"/>
    <s v="Normal Students"/>
    <s v="Balanced Student"/>
    <x v="0"/>
    <s v="A"/>
  </r>
  <r>
    <n v="313"/>
    <s v="Unknown"/>
    <x v="0"/>
    <x v="6"/>
    <n v="68"/>
    <n v="60"/>
    <n v="58"/>
    <n v="64"/>
    <s v="No"/>
    <n v="8"/>
    <n v="5"/>
    <n v="182"/>
    <x v="36"/>
    <x v="0"/>
    <n v="30.333333333333332"/>
    <s v="No"/>
    <s v="Normal Students"/>
    <s v="Unbalanced Student"/>
    <x v="1"/>
    <s v="C"/>
  </r>
  <r>
    <n v="314"/>
    <s v="Kriti"/>
    <x v="1"/>
    <x v="1"/>
    <n v="91"/>
    <n v="87"/>
    <n v="88"/>
    <n v="90"/>
    <s v="Yes"/>
    <n v="6"/>
    <n v="2"/>
    <n v="265"/>
    <x v="13"/>
    <x v="1"/>
    <n v="17.666666666666664"/>
    <s v="No"/>
    <s v="Normal Students"/>
    <s v="Balanced Student"/>
    <x v="0"/>
    <s v="A"/>
  </r>
  <r>
    <n v="315"/>
    <s v="Nikhil"/>
    <x v="0"/>
    <x v="4"/>
    <n v="94"/>
    <n v="91"/>
    <n v="90"/>
    <n v="92"/>
    <s v="No"/>
    <n v="6"/>
    <n v="2"/>
    <n v="273"/>
    <x v="26"/>
    <x v="1"/>
    <n v="15.166666666666666"/>
    <s v="No"/>
    <s v="Normal Students"/>
    <s v="Balanced Student"/>
    <x v="0"/>
    <s v="A"/>
  </r>
  <r>
    <n v="316"/>
    <s v="Rahul"/>
    <x v="0"/>
    <x v="0"/>
    <n v="80"/>
    <n v="75"/>
    <n v="73"/>
    <n v="78"/>
    <s v="Yes"/>
    <n v="7"/>
    <n v="4"/>
    <n v="226"/>
    <x v="29"/>
    <x v="0"/>
    <n v="25.111111111111111"/>
    <s v="No"/>
    <s v="Normal Students"/>
    <s v="Unbalanced Student"/>
    <x v="0"/>
    <s v="B"/>
  </r>
  <r>
    <n v="317"/>
    <s v="Pooja"/>
    <x v="1"/>
    <x v="3"/>
    <n v="85"/>
    <n v="80"/>
    <n v="82"/>
    <n v="84"/>
    <s v="Yes"/>
    <n v="7"/>
    <n v="3"/>
    <n v="246"/>
    <x v="3"/>
    <x v="1"/>
    <n v="20.5"/>
    <s v="No"/>
    <s v="Normal Students"/>
    <s v="Balanced Student"/>
    <x v="0"/>
    <s v="A"/>
  </r>
  <r>
    <n v="318"/>
    <s v="Deepak"/>
    <x v="0"/>
    <x v="6"/>
    <n v="70"/>
    <n v="62"/>
    <n v="60"/>
    <n v="66"/>
    <s v="No"/>
    <n v="8"/>
    <n v="5"/>
    <n v="188"/>
    <x v="23"/>
    <x v="0"/>
    <n v="31.333333333333332"/>
    <s v="No"/>
    <s v="Normal Students"/>
    <s v="Unbalanced Student"/>
    <x v="1"/>
    <s v="C"/>
  </r>
  <r>
    <n v="319"/>
    <s v="Aisha"/>
    <x v="1"/>
    <x v="1"/>
    <n v="92"/>
    <n v="88"/>
    <n v="90"/>
    <n v="91"/>
    <s v="Yes"/>
    <n v="6"/>
    <n v="2"/>
    <n v="269"/>
    <x v="21"/>
    <x v="1"/>
    <n v="17.933333333333334"/>
    <s v="No"/>
    <s v="Normal Students"/>
    <s v="Balanced Student"/>
    <x v="0"/>
    <s v="A"/>
  </r>
  <r>
    <n v="320"/>
    <s v="Rohit"/>
    <x v="0"/>
    <x v="0"/>
    <n v="78"/>
    <n v="72"/>
    <n v="70"/>
    <n v="75"/>
    <s v="Yes"/>
    <n v="7"/>
    <n v="4"/>
    <n v="217"/>
    <x v="16"/>
    <x v="0"/>
    <n v="24.111111111111111"/>
    <s v="No"/>
    <s v="Normal Students"/>
    <s v="Unbalanced Student"/>
    <x v="1"/>
    <s v="B"/>
  </r>
  <r>
    <n v="321"/>
    <s v="Ananya"/>
    <x v="1"/>
    <x v="3"/>
    <n v="87"/>
    <n v="83"/>
    <n v="81"/>
    <n v="85"/>
    <s v="Yes"/>
    <n v="6"/>
    <n v="3"/>
    <n v="249"/>
    <x v="30"/>
    <x v="1"/>
    <n v="20.75"/>
    <s v="No"/>
    <s v="Normal Students"/>
    <s v="Balanced Student"/>
    <x v="0"/>
    <s v="A"/>
  </r>
  <r>
    <n v="322"/>
    <s v="Varun"/>
    <x v="0"/>
    <x v="5"/>
    <n v="62"/>
    <n v="52"/>
    <n v="50"/>
    <n v="57"/>
    <s v="No"/>
    <n v="8"/>
    <n v="6"/>
    <n v="159"/>
    <x v="31"/>
    <x v="2"/>
    <n v="53"/>
    <s v="Yes"/>
    <s v="Normal Students"/>
    <s v="Unbalanced Student"/>
    <x v="1"/>
    <s v="D"/>
  </r>
  <r>
    <n v="323"/>
    <s v="Megha"/>
    <x v="1"/>
    <x v="1"/>
    <n v="91"/>
    <n v="87"/>
    <n v="88"/>
    <n v="90"/>
    <s v="Yes"/>
    <n v="6"/>
    <n v="2"/>
    <n v="265"/>
    <x v="13"/>
    <x v="1"/>
    <n v="17.666666666666664"/>
    <s v="No"/>
    <s v="Normal Students"/>
    <s v="Balanced Student"/>
    <x v="0"/>
    <s v="A"/>
  </r>
  <r>
    <n v="324"/>
    <s v="Karan"/>
    <x v="0"/>
    <x v="0"/>
    <n v="82"/>
    <n v="76"/>
    <n v="75"/>
    <n v="80"/>
    <s v="No"/>
    <n v="7"/>
    <n v="4"/>
    <n v="231"/>
    <x v="12"/>
    <x v="0"/>
    <n v="25.666666666666668"/>
    <s v="No"/>
    <s v="Normal Students"/>
    <s v="Unbalanced Student"/>
    <x v="0"/>
    <s v="B"/>
  </r>
  <r>
    <n v="325"/>
    <s v="Divya"/>
    <x v="1"/>
    <x v="3"/>
    <n v="85"/>
    <n v="80"/>
    <n v="82"/>
    <n v="84"/>
    <s v="Yes"/>
    <n v="7"/>
    <n v="3"/>
    <n v="246"/>
    <x v="3"/>
    <x v="1"/>
    <n v="20.5"/>
    <s v="No"/>
    <s v="Normal Students"/>
    <s v="Balanced Student"/>
    <x v="0"/>
    <s v="A"/>
  </r>
  <r>
    <n v="326"/>
    <s v="Sunil"/>
    <x v="0"/>
    <x v="4"/>
    <n v="94"/>
    <n v="91"/>
    <n v="90"/>
    <n v="92"/>
    <s v="No"/>
    <n v="6"/>
    <n v="2"/>
    <n v="273"/>
    <x v="26"/>
    <x v="1"/>
    <n v="15.166666666666666"/>
    <s v="No"/>
    <s v="Normal Students"/>
    <s v="Balanced Student"/>
    <x v="0"/>
    <s v="A"/>
  </r>
  <r>
    <n v="327"/>
    <s v="Reena"/>
    <x v="1"/>
    <x v="0"/>
    <n v="79"/>
    <n v="74"/>
    <n v="72"/>
    <n v="76"/>
    <s v="Yes"/>
    <n v="7"/>
    <n v="4"/>
    <n v="222"/>
    <x v="27"/>
    <x v="0"/>
    <n v="24.666666666666668"/>
    <s v="No"/>
    <s v="Normal Students"/>
    <s v="Unbalanced Student"/>
    <x v="1"/>
    <s v="B"/>
  </r>
  <r>
    <n v="328"/>
    <s v="Aman"/>
    <x v="0"/>
    <x v="6"/>
    <n v="70"/>
    <n v="62"/>
    <n v="60"/>
    <n v="66"/>
    <s v="No"/>
    <n v="8"/>
    <n v="5"/>
    <n v="188"/>
    <x v="23"/>
    <x v="0"/>
    <n v="31.333333333333332"/>
    <s v="No"/>
    <s v="Normal Students"/>
    <s v="Unbalanced Student"/>
    <x v="1"/>
    <s v="C"/>
  </r>
  <r>
    <n v="329"/>
    <s v="Kavya"/>
    <x v="1"/>
    <x v="1"/>
    <n v="90"/>
    <n v="86"/>
    <n v="88"/>
    <n v="89"/>
    <s v="Yes"/>
    <n v="6"/>
    <n v="2"/>
    <n v="263"/>
    <x v="1"/>
    <x v="1"/>
    <n v="17.533333333333335"/>
    <s v="No"/>
    <s v="Normal Students"/>
    <s v="Balanced Student"/>
    <x v="0"/>
    <s v="A"/>
  </r>
  <r>
    <n v="330"/>
    <s v="Raj"/>
    <x v="0"/>
    <x v="0"/>
    <n v="80"/>
    <n v="75"/>
    <n v="73"/>
    <n v="78"/>
    <s v="Yes"/>
    <n v="7"/>
    <n v="4"/>
    <n v="226"/>
    <x v="29"/>
    <x v="0"/>
    <n v="25.111111111111111"/>
    <s v="No"/>
    <s v="Normal Students"/>
    <s v="Unbalanced Student"/>
    <x v="0"/>
    <s v="B"/>
  </r>
  <r>
    <n v="331"/>
    <s v="Pallavi"/>
    <x v="1"/>
    <x v="3"/>
    <n v="87"/>
    <n v="83"/>
    <n v="81"/>
    <n v="85"/>
    <s v="Yes"/>
    <n v="6"/>
    <n v="3"/>
    <n v="249"/>
    <x v="30"/>
    <x v="1"/>
    <n v="20.75"/>
    <s v="No"/>
    <s v="Normal Students"/>
    <s v="Balanced Student"/>
    <x v="0"/>
    <s v="A"/>
  </r>
  <r>
    <n v="332"/>
    <s v="Manish"/>
    <x v="0"/>
    <x v="6"/>
    <n v="68"/>
    <n v="60"/>
    <n v="58"/>
    <n v="64"/>
    <s v="No"/>
    <n v="8"/>
    <n v="5"/>
    <n v="182"/>
    <x v="36"/>
    <x v="0"/>
    <n v="30.333333333333332"/>
    <s v="No"/>
    <s v="Normal Students"/>
    <s v="Unbalanced Student"/>
    <x v="1"/>
    <s v="C"/>
  </r>
  <r>
    <n v="333"/>
    <s v="Ritu"/>
    <x v="1"/>
    <x v="1"/>
    <n v="92"/>
    <n v="88"/>
    <n v="90"/>
    <n v="91"/>
    <s v="Yes"/>
    <n v="6"/>
    <n v="2"/>
    <n v="269"/>
    <x v="21"/>
    <x v="1"/>
    <n v="17.933333333333334"/>
    <s v="No"/>
    <s v="Normal Students"/>
    <s v="Balanced Student"/>
    <x v="0"/>
    <s v="A"/>
  </r>
  <r>
    <n v="334"/>
    <s v="Ajay"/>
    <x v="0"/>
    <x v="0"/>
    <n v="78"/>
    <n v="72"/>
    <n v="70"/>
    <n v="75"/>
    <s v="Yes"/>
    <n v="7"/>
    <n v="4"/>
    <n v="217"/>
    <x v="16"/>
    <x v="0"/>
    <n v="24.111111111111111"/>
    <s v="No"/>
    <s v="Normal Students"/>
    <s v="Unbalanced Student"/>
    <x v="1"/>
    <s v="B"/>
  </r>
  <r>
    <n v="335"/>
    <s v="Nisha"/>
    <x v="1"/>
    <x v="3"/>
    <n v="85"/>
    <n v="80"/>
    <n v="82"/>
    <n v="84"/>
    <s v="Yes"/>
    <n v="7"/>
    <n v="3"/>
    <n v="246"/>
    <x v="3"/>
    <x v="1"/>
    <n v="20.5"/>
    <s v="No"/>
    <s v="Normal Students"/>
    <s v="Balanced Student"/>
    <x v="0"/>
    <s v="A"/>
  </r>
  <r>
    <n v="336"/>
    <s v="Vikas"/>
    <x v="0"/>
    <x v="4"/>
    <n v="94"/>
    <n v="91"/>
    <n v="90"/>
    <n v="92"/>
    <s v="No"/>
    <n v="6"/>
    <n v="2"/>
    <n v="273"/>
    <x v="26"/>
    <x v="1"/>
    <n v="15.166666666666666"/>
    <s v="No"/>
    <s v="Normal Students"/>
    <s v="Balanced Student"/>
    <x v="0"/>
    <s v="A"/>
  </r>
  <r>
    <n v="337"/>
    <s v="Shreya"/>
    <x v="1"/>
    <x v="0"/>
    <n v="79"/>
    <n v="74"/>
    <n v="72"/>
    <n v="76"/>
    <s v="Yes"/>
    <n v="7"/>
    <n v="4"/>
    <n v="222"/>
    <x v="27"/>
    <x v="0"/>
    <n v="24.666666666666668"/>
    <s v="No"/>
    <s v="Normal Students"/>
    <s v="Unbalanced Student"/>
    <x v="1"/>
    <s v="B"/>
  </r>
  <r>
    <n v="338"/>
    <s v="Arjun"/>
    <x v="0"/>
    <x v="6"/>
    <n v="70"/>
    <n v="62"/>
    <n v="60"/>
    <n v="66"/>
    <s v="No"/>
    <n v="8"/>
    <n v="5"/>
    <n v="188"/>
    <x v="23"/>
    <x v="0"/>
    <n v="31.333333333333332"/>
    <s v="No"/>
    <s v="Normal Students"/>
    <s v="Unbalanced Student"/>
    <x v="1"/>
    <s v="C"/>
  </r>
  <r>
    <n v="339"/>
    <s v="Komal"/>
    <x v="1"/>
    <x v="1"/>
    <n v="90"/>
    <n v="86"/>
    <n v="88"/>
    <n v="89"/>
    <s v="Yes"/>
    <n v="6"/>
    <n v="2"/>
    <n v="263"/>
    <x v="1"/>
    <x v="1"/>
    <n v="17.533333333333335"/>
    <s v="No"/>
    <s v="Normal Students"/>
    <s v="Balanced Student"/>
    <x v="0"/>
    <s v="A"/>
  </r>
  <r>
    <n v="340"/>
    <s v="Yash"/>
    <x v="0"/>
    <x v="0"/>
    <n v="82"/>
    <n v="76"/>
    <n v="75"/>
    <n v="80"/>
    <s v="No"/>
    <n v="7"/>
    <n v="4"/>
    <n v="231"/>
    <x v="12"/>
    <x v="0"/>
    <n v="25.666666666666668"/>
    <s v="No"/>
    <s v="Normal Students"/>
    <s v="Unbalanced Student"/>
    <x v="0"/>
    <s v="B"/>
  </r>
  <r>
    <n v="341"/>
    <s v="Simran"/>
    <x v="1"/>
    <x v="3"/>
    <n v="87"/>
    <n v="83"/>
    <n v="81"/>
    <n v="85"/>
    <s v="Yes"/>
    <n v="6"/>
    <n v="3"/>
    <n v="249"/>
    <x v="30"/>
    <x v="1"/>
    <n v="20.75"/>
    <s v="No"/>
    <s v="Normal Students"/>
    <s v="Balanced Student"/>
    <x v="0"/>
    <s v="A"/>
  </r>
  <r>
    <n v="342"/>
    <s v="Ravi"/>
    <x v="0"/>
    <x v="6"/>
    <n v="68"/>
    <n v="60"/>
    <n v="58"/>
    <n v="64"/>
    <s v="No"/>
    <n v="8"/>
    <n v="5"/>
    <n v="182"/>
    <x v="36"/>
    <x v="0"/>
    <n v="30.333333333333332"/>
    <s v="No"/>
    <s v="Normal Students"/>
    <s v="Unbalanced Student"/>
    <x v="1"/>
    <s v="C"/>
  </r>
  <r>
    <n v="343"/>
    <s v="Sonia"/>
    <x v="1"/>
    <x v="1"/>
    <n v="92"/>
    <n v="88"/>
    <n v="90"/>
    <n v="91"/>
    <s v="Yes"/>
    <n v="6"/>
    <n v="2"/>
    <n v="269"/>
    <x v="21"/>
    <x v="1"/>
    <n v="17.933333333333334"/>
    <s v="No"/>
    <s v="Normal Students"/>
    <s v="Balanced Student"/>
    <x v="0"/>
    <s v="A"/>
  </r>
  <r>
    <n v="344"/>
    <s v="Kunal"/>
    <x v="0"/>
    <x v="0"/>
    <n v="78"/>
    <n v="72"/>
    <n v="70"/>
    <n v="75"/>
    <s v="Yes"/>
    <n v="7"/>
    <n v="4"/>
    <n v="217"/>
    <x v="16"/>
    <x v="0"/>
    <n v="24.111111111111111"/>
    <s v="No"/>
    <s v="Normal Students"/>
    <s v="Unbalanced Student"/>
    <x v="1"/>
    <s v="B"/>
  </r>
  <r>
    <n v="345"/>
    <s v="Ankit"/>
    <x v="0"/>
    <x v="3"/>
    <n v="85"/>
    <n v="80"/>
    <n v="82"/>
    <n v="84"/>
    <s v="Yes"/>
    <n v="7"/>
    <n v="3"/>
    <n v="246"/>
    <x v="3"/>
    <x v="1"/>
    <n v="20.5"/>
    <s v="No"/>
    <s v="Normal Students"/>
    <s v="Balanced Student"/>
    <x v="0"/>
    <s v="A"/>
  </r>
  <r>
    <n v="346"/>
    <s v="Neha"/>
    <x v="1"/>
    <x v="4"/>
    <n v="94"/>
    <n v="91"/>
    <n v="90"/>
    <n v="92"/>
    <s v="No"/>
    <n v="6"/>
    <n v="2"/>
    <n v="273"/>
    <x v="26"/>
    <x v="1"/>
    <n v="15.166666666666666"/>
    <s v="No"/>
    <s v="Normal Students"/>
    <s v="Balanced Student"/>
    <x v="0"/>
    <s v="A"/>
  </r>
  <r>
    <n v="347"/>
    <s v="Unknown"/>
    <x v="1"/>
    <x v="0"/>
    <n v="79"/>
    <n v="74"/>
    <n v="72"/>
    <n v="76"/>
    <s v="Yes"/>
    <n v="7"/>
    <n v="4"/>
    <n v="222"/>
    <x v="27"/>
    <x v="0"/>
    <n v="24.666666666666668"/>
    <s v="No"/>
    <s v="Normal Students"/>
    <s v="Unbalanced Student"/>
    <x v="1"/>
    <s v="B"/>
  </r>
  <r>
    <n v="348"/>
    <s v="Ramesh"/>
    <x v="0"/>
    <x v="6"/>
    <n v="70"/>
    <n v="62"/>
    <n v="60"/>
    <n v="66"/>
    <s v="No"/>
    <n v="8"/>
    <n v="5"/>
    <n v="188"/>
    <x v="23"/>
    <x v="0"/>
    <n v="31.333333333333332"/>
    <s v="No"/>
    <s v="Normal Students"/>
    <s v="Unbalanced Student"/>
    <x v="1"/>
    <s v="C"/>
  </r>
  <r>
    <n v="349"/>
    <s v="Aarti"/>
    <x v="1"/>
    <x v="1"/>
    <n v="90"/>
    <n v="86"/>
    <n v="88"/>
    <n v="89"/>
    <s v="Yes"/>
    <n v="6"/>
    <n v="2"/>
    <n v="263"/>
    <x v="1"/>
    <x v="1"/>
    <n v="17.533333333333335"/>
    <s v="No"/>
    <s v="Normal Students"/>
    <s v="Balanced Student"/>
    <x v="0"/>
    <s v="A"/>
  </r>
  <r>
    <n v="350"/>
    <s v="Sameer"/>
    <x v="0"/>
    <x v="0"/>
    <n v="82"/>
    <n v="76"/>
    <n v="75"/>
    <n v="80"/>
    <s v="No"/>
    <n v="7"/>
    <n v="4"/>
    <n v="231"/>
    <x v="12"/>
    <x v="0"/>
    <n v="25.666666666666668"/>
    <s v="No"/>
    <s v="Normal Students"/>
    <s v="Unbalanced Student"/>
    <x v="0"/>
    <s v="B"/>
  </r>
  <r>
    <n v="351"/>
    <s v="Priya"/>
    <x v="1"/>
    <x v="3"/>
    <n v="87"/>
    <n v="83"/>
    <n v="81"/>
    <n v="85"/>
    <s v="Yes"/>
    <n v="6"/>
    <n v="3"/>
    <n v="249"/>
    <x v="30"/>
    <x v="1"/>
    <n v="20.75"/>
    <s v="No"/>
    <s v="Normal Students"/>
    <s v="Balanced Student"/>
    <x v="0"/>
    <s v="A"/>
  </r>
  <r>
    <n v="352"/>
    <s v="Sunita"/>
    <x v="1"/>
    <x v="6"/>
    <n v="68"/>
    <n v="60"/>
    <n v="58"/>
    <n v="64"/>
    <s v="No"/>
    <n v="8"/>
    <n v="5"/>
    <n v="182"/>
    <x v="36"/>
    <x v="0"/>
    <n v="30.333333333333332"/>
    <s v="No"/>
    <s v="Normal Students"/>
    <s v="Unbalanced Student"/>
    <x v="1"/>
    <s v="C"/>
  </r>
  <r>
    <n v="353"/>
    <s v="Harsh"/>
    <x v="0"/>
    <x v="1"/>
    <n v="92"/>
    <n v="88"/>
    <n v="90"/>
    <n v="91"/>
    <s v="Yes"/>
    <n v="6"/>
    <n v="2"/>
    <n v="269"/>
    <x v="21"/>
    <x v="1"/>
    <n v="17.933333333333334"/>
    <s v="No"/>
    <s v="Normal Students"/>
    <s v="Balanced Student"/>
    <x v="0"/>
    <s v="A"/>
  </r>
  <r>
    <n v="354"/>
    <s v="Imran"/>
    <x v="0"/>
    <x v="0"/>
    <n v="78"/>
    <n v="72"/>
    <n v="70"/>
    <n v="75"/>
    <s v="Yes"/>
    <n v="7"/>
    <n v="4"/>
    <n v="217"/>
    <x v="16"/>
    <x v="0"/>
    <n v="24.111111111111111"/>
    <s v="No"/>
    <s v="Normal Students"/>
    <s v="Unbalanced Student"/>
    <x v="1"/>
    <s v="B"/>
  </r>
  <r>
    <n v="355"/>
    <s v="Saloni"/>
    <x v="1"/>
    <x v="3"/>
    <n v="85"/>
    <n v="80"/>
    <n v="82"/>
    <n v="84"/>
    <s v="Yes"/>
    <n v="7"/>
    <n v="3"/>
    <n v="246"/>
    <x v="3"/>
    <x v="1"/>
    <n v="20.5"/>
    <s v="No"/>
    <s v="Normal Students"/>
    <s v="Balanced Student"/>
    <x v="0"/>
    <s v="A"/>
  </r>
  <r>
    <n v="356"/>
    <s v="Nitin"/>
    <x v="0"/>
    <x v="4"/>
    <n v="94"/>
    <n v="91"/>
    <n v="90"/>
    <n v="92"/>
    <s v="No"/>
    <n v="6"/>
    <n v="2"/>
    <n v="273"/>
    <x v="26"/>
    <x v="1"/>
    <n v="15.166666666666666"/>
    <s v="No"/>
    <s v="Normal Students"/>
    <s v="Balanced Student"/>
    <x v="0"/>
    <s v="A"/>
  </r>
  <r>
    <n v="357"/>
    <s v="Rekha"/>
    <x v="1"/>
    <x v="0"/>
    <n v="79"/>
    <n v="74"/>
    <n v="72"/>
    <n v="76"/>
    <s v="Yes"/>
    <n v="7"/>
    <n v="4"/>
    <n v="222"/>
    <x v="27"/>
    <x v="0"/>
    <n v="24.666666666666668"/>
    <s v="No"/>
    <s v="Normal Students"/>
    <s v="Unbalanced Student"/>
    <x v="1"/>
    <s v="B"/>
  </r>
  <r>
    <n v="358"/>
    <s v="Kabir"/>
    <x v="0"/>
    <x v="6"/>
    <n v="70"/>
    <n v="62"/>
    <n v="60"/>
    <n v="66"/>
    <s v="No"/>
    <n v="8"/>
    <n v="5"/>
    <n v="188"/>
    <x v="23"/>
    <x v="0"/>
    <n v="31.333333333333332"/>
    <s v="No"/>
    <s v="Normal Students"/>
    <s v="Unbalanced Student"/>
    <x v="1"/>
    <s v="C"/>
  </r>
  <r>
    <n v="359"/>
    <s v="Diya"/>
    <x v="1"/>
    <x v="1"/>
    <n v="90"/>
    <n v="86"/>
    <n v="88"/>
    <n v="89"/>
    <s v="Yes"/>
    <n v="6"/>
    <n v="2"/>
    <n v="263"/>
    <x v="1"/>
    <x v="1"/>
    <n v="17.533333333333335"/>
    <s v="No"/>
    <s v="Normal Students"/>
    <s v="Balanced Student"/>
    <x v="0"/>
    <s v="A"/>
  </r>
  <r>
    <n v="360"/>
    <s v="Aarav"/>
    <x v="0"/>
    <x v="0"/>
    <n v="82"/>
    <n v="76"/>
    <n v="75"/>
    <n v="80"/>
    <s v="No"/>
    <n v="7"/>
    <n v="4"/>
    <n v="231"/>
    <x v="12"/>
    <x v="0"/>
    <n v="25.666666666666668"/>
    <s v="No"/>
    <s v="Normal Students"/>
    <s v="Unbalanced Student"/>
    <x v="0"/>
    <s v="B"/>
  </r>
  <r>
    <n v="361"/>
    <s v="Rohit"/>
    <x v="0"/>
    <x v="0"/>
    <n v="78"/>
    <n v="72"/>
    <n v="70"/>
    <n v="75"/>
    <s v="Yes"/>
    <n v="7"/>
    <n v="4"/>
    <n v="217"/>
    <x v="16"/>
    <x v="0"/>
    <n v="24.111111111111111"/>
    <s v="No"/>
    <s v="Normal Students"/>
    <s v="Unbalanced Student"/>
    <x v="1"/>
    <s v="B"/>
  </r>
  <r>
    <n v="362"/>
    <s v="Divya"/>
    <x v="1"/>
    <x v="3"/>
    <n v="85"/>
    <n v="80"/>
    <n v="82"/>
    <n v="84"/>
    <s v="Yes"/>
    <n v="7"/>
    <n v="3"/>
    <n v="246"/>
    <x v="3"/>
    <x v="1"/>
    <n v="20.5"/>
    <s v="No"/>
    <s v="Normal Students"/>
    <s v="Balanced Student"/>
    <x v="0"/>
    <s v="A"/>
  </r>
  <r>
    <n v="363"/>
    <s v="ANANYA"/>
    <x v="1"/>
    <x v="3"/>
    <n v="88"/>
    <n v="82"/>
    <n v="79"/>
    <n v="85"/>
    <s v="Yes"/>
    <n v="7"/>
    <n v="3"/>
    <n v="246"/>
    <x v="3"/>
    <x v="1"/>
    <n v="20.5"/>
    <s v="No"/>
    <s v="Normal Students"/>
    <s v="Balanced Student"/>
    <x v="0"/>
    <s v="A"/>
  </r>
  <r>
    <n v="364"/>
    <s v="rahul"/>
    <x v="0"/>
    <x v="0"/>
    <n v="85"/>
    <n v="78"/>
    <n v="72"/>
    <n v="80"/>
    <s v="Yes"/>
    <n v="7"/>
    <n v="3"/>
    <n v="230"/>
    <x v="0"/>
    <x v="0"/>
    <n v="25.555555555555557"/>
    <s v="No"/>
    <s v="Normal Students"/>
    <s v="Unbalanced Student"/>
    <x v="0"/>
    <s v="B"/>
  </r>
  <r>
    <n v="365"/>
    <s v="Kriti"/>
    <x v="1"/>
    <x v="2"/>
    <n v="85"/>
    <n v="80"/>
    <n v="82"/>
    <n v="84"/>
    <s v="Yes"/>
    <n v="7"/>
    <n v="3"/>
    <n v="246"/>
    <x v="3"/>
    <x v="1"/>
    <n v="0"/>
    <s v="No"/>
    <s v="Smart Students"/>
    <s v="Balanced Student"/>
    <x v="0"/>
    <s v="A"/>
  </r>
  <r>
    <n v="366"/>
    <s v="Deepak"/>
    <x v="0"/>
    <x v="6"/>
    <n v="70"/>
    <n v="62"/>
    <n v="60"/>
    <n v="66"/>
    <s v="No"/>
    <n v="8"/>
    <n v="5"/>
    <n v="188"/>
    <x v="23"/>
    <x v="0"/>
    <n v="31.333333333333332"/>
    <s v="No"/>
    <s v="Normal Students"/>
    <s v="Unbalanced Student"/>
    <x v="1"/>
    <s v="C"/>
  </r>
  <r>
    <n v="367"/>
    <s v="Pooja"/>
    <x v="1"/>
    <x v="1"/>
    <n v="92"/>
    <n v="88"/>
    <n v="90"/>
    <n v="91"/>
    <s v="Yes"/>
    <n v="6"/>
    <n v="2"/>
    <n v="269"/>
    <x v="21"/>
    <x v="1"/>
    <n v="17.933333333333334"/>
    <s v="No"/>
    <s v="Normal Students"/>
    <s v="Balanced Student"/>
    <x v="0"/>
    <s v="A"/>
  </r>
  <r>
    <n v="368"/>
    <s v="Varun"/>
    <x v="0"/>
    <x v="5"/>
    <n v="62"/>
    <n v="52"/>
    <n v="50"/>
    <n v="57"/>
    <s v="No"/>
    <n v="8"/>
    <n v="6"/>
    <n v="159"/>
    <x v="31"/>
    <x v="2"/>
    <n v="53"/>
    <s v="Yes"/>
    <s v="Normal Students"/>
    <s v="Unbalanced Student"/>
    <x v="1"/>
    <s v="D"/>
  </r>
  <r>
    <n v="369"/>
    <s v="Meera"/>
    <x v="1"/>
    <x v="3"/>
    <n v="87"/>
    <n v="83"/>
    <n v="81"/>
    <n v="85"/>
    <s v="Yes"/>
    <n v="6"/>
    <n v="3"/>
    <n v="249"/>
    <x v="30"/>
    <x v="1"/>
    <n v="20.75"/>
    <s v="No"/>
    <s v="Normal Students"/>
    <s v="Balanced Student"/>
    <x v="0"/>
    <s v="A"/>
  </r>
  <r>
    <n v="370"/>
    <s v="Arun"/>
    <x v="0"/>
    <x v="6"/>
    <n v="68"/>
    <n v="60"/>
    <n v="58"/>
    <n v="64"/>
    <s v="No"/>
    <n v="8"/>
    <n v="5"/>
    <n v="182"/>
    <x v="36"/>
    <x v="0"/>
    <n v="30.333333333333332"/>
    <s v="No"/>
    <s v="Normal Students"/>
    <s v="Unbalanced Student"/>
    <x v="1"/>
    <s v="C"/>
  </r>
  <r>
    <n v="371"/>
    <s v="Riya"/>
    <x v="1"/>
    <x v="1"/>
    <n v="92"/>
    <n v="88"/>
    <n v="90"/>
    <n v="91"/>
    <s v="Yes"/>
    <n v="6"/>
    <n v="2"/>
    <n v="269"/>
    <x v="21"/>
    <x v="1"/>
    <n v="17.933333333333334"/>
    <s v="No"/>
    <s v="Normal Students"/>
    <s v="Balanced Student"/>
    <x v="0"/>
    <s v="A"/>
  </r>
  <r>
    <n v="372"/>
    <s v="Yogesh"/>
    <x v="0"/>
    <x v="0"/>
    <n v="78"/>
    <n v="72"/>
    <n v="70"/>
    <n v="75"/>
    <s v="Yes"/>
    <n v="7"/>
    <n v="4"/>
    <n v="217"/>
    <x v="16"/>
    <x v="0"/>
    <n v="24.111111111111111"/>
    <s v="No"/>
    <s v="Normal Students"/>
    <s v="Unbalanced Student"/>
    <x v="1"/>
    <s v="B"/>
  </r>
  <r>
    <n v="373"/>
    <s v="Sneha"/>
    <x v="1"/>
    <x v="3"/>
    <n v="85"/>
    <n v="80"/>
    <n v="82"/>
    <n v="84"/>
    <s v="Yes"/>
    <n v="7"/>
    <n v="3"/>
    <n v="246"/>
    <x v="3"/>
    <x v="1"/>
    <n v="20.5"/>
    <s v="No"/>
    <s v="Normal Students"/>
    <s v="Balanced Student"/>
    <x v="0"/>
    <s v="A"/>
  </r>
  <r>
    <n v="374"/>
    <s v="Naveen"/>
    <x v="0"/>
    <x v="4"/>
    <n v="94"/>
    <n v="91"/>
    <n v="90"/>
    <n v="92"/>
    <s v="No"/>
    <n v="6"/>
    <n v="2"/>
    <n v="273"/>
    <x v="26"/>
    <x v="1"/>
    <n v="15.166666666666666"/>
    <s v="No"/>
    <s v="Normal Students"/>
    <s v="Balanced Student"/>
    <x v="0"/>
    <s v="A"/>
  </r>
  <r>
    <n v="375"/>
    <s v="Unknown"/>
    <x v="1"/>
    <x v="0"/>
    <n v="79"/>
    <n v="74"/>
    <n v="72"/>
    <n v="76"/>
    <s v="Yes"/>
    <n v="7"/>
    <n v="4"/>
    <n v="222"/>
    <x v="27"/>
    <x v="0"/>
    <n v="24.666666666666668"/>
    <s v="No"/>
    <s v="Normal Students"/>
    <s v="Unbalanced Student"/>
    <x v="1"/>
    <s v="B"/>
  </r>
  <r>
    <n v="376"/>
    <s v="Karan"/>
    <x v="0"/>
    <x v="6"/>
    <n v="70"/>
    <n v="62"/>
    <n v="60"/>
    <n v="66"/>
    <s v="No"/>
    <n v="8"/>
    <n v="5"/>
    <n v="188"/>
    <x v="23"/>
    <x v="0"/>
    <n v="31.333333333333332"/>
    <s v="No"/>
    <s v="Normal Students"/>
    <s v="Unbalanced Student"/>
    <x v="1"/>
    <s v="C"/>
  </r>
  <r>
    <n v="377"/>
    <s v="Aisha"/>
    <x v="1"/>
    <x v="1"/>
    <n v="90"/>
    <n v="86"/>
    <n v="88"/>
    <n v="89"/>
    <s v="Yes"/>
    <n v="6"/>
    <n v="2"/>
    <n v="263"/>
    <x v="1"/>
    <x v="1"/>
    <n v="17.533333333333335"/>
    <s v="No"/>
    <s v="Normal Students"/>
    <s v="Balanced Student"/>
    <x v="0"/>
    <s v="A"/>
  </r>
  <r>
    <n v="378"/>
    <s v="Raj"/>
    <x v="0"/>
    <x v="0"/>
    <n v="82"/>
    <n v="76"/>
    <n v="75"/>
    <n v="80"/>
    <s v="No"/>
    <n v="7"/>
    <n v="4"/>
    <n v="231"/>
    <x v="12"/>
    <x v="0"/>
    <n v="25.666666666666668"/>
    <s v="No"/>
    <s v="Normal Students"/>
    <s v="Unbalanced Student"/>
    <x v="0"/>
    <s v="B"/>
  </r>
  <r>
    <n v="379"/>
    <s v="Simran"/>
    <x v="1"/>
    <x v="3"/>
    <n v="87"/>
    <n v="83"/>
    <n v="81"/>
    <n v="85"/>
    <s v="Yes"/>
    <n v="6"/>
    <n v="3"/>
    <n v="249"/>
    <x v="30"/>
    <x v="1"/>
    <n v="20.75"/>
    <s v="No"/>
    <s v="Normal Students"/>
    <s v="Balanced Student"/>
    <x v="0"/>
    <s v="A"/>
  </r>
  <r>
    <n v="380"/>
    <s v="Aman"/>
    <x v="0"/>
    <x v="6"/>
    <n v="68"/>
    <n v="60"/>
    <n v="58"/>
    <n v="64"/>
    <s v="No"/>
    <n v="8"/>
    <n v="5"/>
    <n v="182"/>
    <x v="36"/>
    <x v="0"/>
    <n v="30.333333333333332"/>
    <s v="No"/>
    <s v="Normal Students"/>
    <s v="Unbalanced Student"/>
    <x v="1"/>
    <s v="C"/>
  </r>
  <r>
    <n v="381"/>
    <s v="Pallavi"/>
    <x v="1"/>
    <x v="1"/>
    <n v="92"/>
    <n v="88"/>
    <n v="90"/>
    <n v="91"/>
    <s v="Yes"/>
    <n v="6"/>
    <n v="2"/>
    <n v="269"/>
    <x v="21"/>
    <x v="1"/>
    <n v="17.933333333333334"/>
    <s v="No"/>
    <s v="Normal Students"/>
    <s v="Balanced Student"/>
    <x v="0"/>
    <s v="A"/>
  </r>
  <r>
    <n v="382"/>
    <s v="Ajay"/>
    <x v="0"/>
    <x v="0"/>
    <n v="78"/>
    <n v="72"/>
    <n v="70"/>
    <n v="75"/>
    <s v="Yes"/>
    <n v="7"/>
    <n v="4"/>
    <n v="217"/>
    <x v="16"/>
    <x v="0"/>
    <n v="24.111111111111111"/>
    <s v="No"/>
    <s v="Normal Students"/>
    <s v="Unbalanced Student"/>
    <x v="1"/>
    <s v="B"/>
  </r>
  <r>
    <n v="383"/>
    <s v="Nisha"/>
    <x v="1"/>
    <x v="3"/>
    <n v="85"/>
    <n v="80"/>
    <n v="82"/>
    <n v="84"/>
    <s v="Yes"/>
    <n v="7"/>
    <n v="3"/>
    <n v="246"/>
    <x v="3"/>
    <x v="1"/>
    <n v="20.5"/>
    <s v="No"/>
    <s v="Normal Students"/>
    <s v="Balanced Student"/>
    <x v="0"/>
    <s v="A"/>
  </r>
  <r>
    <n v="384"/>
    <s v="Vikas"/>
    <x v="0"/>
    <x v="4"/>
    <n v="94"/>
    <n v="91"/>
    <n v="90"/>
    <n v="92"/>
    <s v="No"/>
    <n v="6"/>
    <n v="2"/>
    <n v="273"/>
    <x v="26"/>
    <x v="1"/>
    <n v="15.166666666666666"/>
    <s v="No"/>
    <s v="Normal Students"/>
    <s v="Balanced Student"/>
    <x v="0"/>
    <s v="A"/>
  </r>
  <r>
    <n v="385"/>
    <s v="Shreya"/>
    <x v="1"/>
    <x v="0"/>
    <n v="79"/>
    <n v="74"/>
    <n v="72"/>
    <n v="76"/>
    <s v="Yes"/>
    <n v="7"/>
    <n v="4"/>
    <n v="222"/>
    <x v="27"/>
    <x v="0"/>
    <n v="24.666666666666668"/>
    <s v="No"/>
    <s v="Normal Students"/>
    <s v="Unbalanced Student"/>
    <x v="1"/>
    <s v="B"/>
  </r>
  <r>
    <n v="386"/>
    <s v="Arjun"/>
    <x v="0"/>
    <x v="6"/>
    <n v="70"/>
    <n v="62"/>
    <n v="60"/>
    <n v="66"/>
    <s v="No"/>
    <n v="8"/>
    <n v="5"/>
    <n v="188"/>
    <x v="23"/>
    <x v="0"/>
    <n v="31.333333333333332"/>
    <s v="No"/>
    <s v="Normal Students"/>
    <s v="Unbalanced Student"/>
    <x v="1"/>
    <s v="C"/>
  </r>
  <r>
    <n v="387"/>
    <s v="Komal"/>
    <x v="1"/>
    <x v="1"/>
    <n v="90"/>
    <n v="86"/>
    <n v="88"/>
    <n v="89"/>
    <s v="Yes"/>
    <n v="6"/>
    <n v="2"/>
    <n v="263"/>
    <x v="1"/>
    <x v="1"/>
    <n v="17.533333333333335"/>
    <s v="No"/>
    <s v="Normal Students"/>
    <s v="Balanced Student"/>
    <x v="0"/>
    <s v="A"/>
  </r>
  <r>
    <n v="388"/>
    <s v="Yash"/>
    <x v="0"/>
    <x v="0"/>
    <n v="82"/>
    <n v="76"/>
    <n v="75"/>
    <n v="80"/>
    <s v="No"/>
    <n v="7"/>
    <n v="4"/>
    <n v="231"/>
    <x v="12"/>
    <x v="0"/>
    <n v="25.666666666666668"/>
    <s v="No"/>
    <s v="Normal Students"/>
    <s v="Unbalanced Student"/>
    <x v="0"/>
    <s v="B"/>
  </r>
  <r>
    <n v="389"/>
    <s v="Sonia"/>
    <x v="1"/>
    <x v="3"/>
    <n v="87"/>
    <n v="83"/>
    <n v="81"/>
    <n v="85"/>
    <s v="Yes"/>
    <n v="6"/>
    <n v="3"/>
    <n v="249"/>
    <x v="30"/>
    <x v="1"/>
    <n v="20.75"/>
    <s v="No"/>
    <s v="Normal Students"/>
    <s v="Balanced Student"/>
    <x v="0"/>
    <s v="A"/>
  </r>
  <r>
    <n v="390"/>
    <s v="Ravi"/>
    <x v="0"/>
    <x v="6"/>
    <n v="68"/>
    <n v="60"/>
    <n v="58"/>
    <n v="64"/>
    <s v="No"/>
    <n v="8"/>
    <n v="5"/>
    <n v="182"/>
    <x v="36"/>
    <x v="0"/>
    <n v="30.333333333333332"/>
    <s v="No"/>
    <s v="Normal Students"/>
    <s v="Unbalanced Student"/>
    <x v="1"/>
    <s v="C"/>
  </r>
  <r>
    <n v="391"/>
    <s v="Priya"/>
    <x v="1"/>
    <x v="1"/>
    <n v="92"/>
    <n v="88"/>
    <n v="90"/>
    <n v="91"/>
    <s v="Yes"/>
    <n v="6"/>
    <n v="2"/>
    <n v="269"/>
    <x v="21"/>
    <x v="1"/>
    <n v="17.933333333333334"/>
    <s v="No"/>
    <s v="Normal Students"/>
    <s v="Balanced Student"/>
    <x v="0"/>
    <s v="A"/>
  </r>
  <r>
    <n v="392"/>
    <s v="Kunal"/>
    <x v="0"/>
    <x v="0"/>
    <n v="78"/>
    <n v="72"/>
    <n v="70"/>
    <n v="75"/>
    <s v="Yes"/>
    <n v="7"/>
    <n v="4"/>
    <n v="217"/>
    <x v="16"/>
    <x v="0"/>
    <n v="24.111111111111111"/>
    <s v="No"/>
    <s v="Normal Students"/>
    <s v="Unbalanced Student"/>
    <x v="1"/>
    <s v="B"/>
  </r>
  <r>
    <n v="393"/>
    <s v="Ankit"/>
    <x v="0"/>
    <x v="3"/>
    <n v="85"/>
    <n v="80"/>
    <n v="82"/>
    <n v="84"/>
    <s v="Yes"/>
    <n v="7"/>
    <n v="3"/>
    <n v="246"/>
    <x v="3"/>
    <x v="1"/>
    <n v="20.5"/>
    <s v="No"/>
    <s v="Normal Students"/>
    <s v="Balanced Student"/>
    <x v="0"/>
    <s v="A"/>
  </r>
  <r>
    <n v="394"/>
    <s v="Neha"/>
    <x v="1"/>
    <x v="4"/>
    <n v="94"/>
    <n v="91"/>
    <n v="90"/>
    <n v="92"/>
    <s v="No"/>
    <n v="6"/>
    <n v="2"/>
    <n v="273"/>
    <x v="26"/>
    <x v="1"/>
    <n v="15.166666666666666"/>
    <s v="No"/>
    <s v="Normal Students"/>
    <s v="Balanced Student"/>
    <x v="0"/>
    <s v="A"/>
  </r>
  <r>
    <n v="395"/>
    <s v="Ramesh"/>
    <x v="0"/>
    <x v="6"/>
    <n v="70"/>
    <n v="62"/>
    <n v="60"/>
    <n v="66"/>
    <s v="No"/>
    <n v="8"/>
    <n v="5"/>
    <n v="188"/>
    <x v="23"/>
    <x v="0"/>
    <n v="31.333333333333332"/>
    <s v="No"/>
    <s v="Normal Students"/>
    <s v="Unbalanced Student"/>
    <x v="1"/>
    <s v="C"/>
  </r>
  <r>
    <n v="396"/>
    <s v="Aarti"/>
    <x v="1"/>
    <x v="1"/>
    <n v="90"/>
    <n v="86"/>
    <n v="88"/>
    <n v="89"/>
    <s v="Yes"/>
    <n v="6"/>
    <n v="2"/>
    <n v="263"/>
    <x v="1"/>
    <x v="1"/>
    <n v="17.533333333333335"/>
    <s v="No"/>
    <s v="Normal Students"/>
    <s v="Balanced Student"/>
    <x v="0"/>
    <s v="A"/>
  </r>
  <r>
    <n v="397"/>
    <s v="Sameer"/>
    <x v="0"/>
    <x v="0"/>
    <n v="82"/>
    <n v="76"/>
    <n v="75"/>
    <n v="80"/>
    <s v="No"/>
    <n v="7"/>
    <n v="4"/>
    <n v="231"/>
    <x v="12"/>
    <x v="0"/>
    <n v="25.666666666666668"/>
    <s v="No"/>
    <s v="Normal Students"/>
    <s v="Unbalanced Student"/>
    <x v="0"/>
    <s v="B"/>
  </r>
  <r>
    <n v="398"/>
    <s v="Priya"/>
    <x v="1"/>
    <x v="3"/>
    <n v="87"/>
    <n v="83"/>
    <n v="81"/>
    <n v="85"/>
    <s v="Yes"/>
    <n v="6"/>
    <n v="3"/>
    <n v="249"/>
    <x v="30"/>
    <x v="1"/>
    <n v="20.75"/>
    <s v="No"/>
    <s v="Normal Students"/>
    <s v="Balanced Student"/>
    <x v="0"/>
    <s v="A"/>
  </r>
  <r>
    <n v="399"/>
    <s v="Sunita"/>
    <x v="1"/>
    <x v="6"/>
    <n v="68"/>
    <n v="60"/>
    <n v="58"/>
    <n v="64"/>
    <s v="No"/>
    <n v="8"/>
    <n v="5"/>
    <n v="182"/>
    <x v="36"/>
    <x v="0"/>
    <n v="30.333333333333332"/>
    <s v="No"/>
    <s v="Normal Students"/>
    <s v="Unbalanced Student"/>
    <x v="1"/>
    <s v="C"/>
  </r>
  <r>
    <n v="400"/>
    <s v="Harsh"/>
    <x v="0"/>
    <x v="1"/>
    <n v="92"/>
    <n v="88"/>
    <n v="90"/>
    <n v="91"/>
    <s v="Yes"/>
    <n v="6"/>
    <n v="2"/>
    <n v="269"/>
    <x v="21"/>
    <x v="1"/>
    <n v="17.933333333333334"/>
    <s v="No"/>
    <s v="Normal Students"/>
    <s v="Balanced Student"/>
    <x v="0"/>
    <s v="A"/>
  </r>
  <r>
    <n v="401"/>
    <s v="Amit"/>
    <x v="0"/>
    <x v="0"/>
    <n v="80"/>
    <n v="75"/>
    <n v="73"/>
    <n v="78"/>
    <s v="Yes"/>
    <n v="7"/>
    <n v="4"/>
    <n v="226"/>
    <x v="29"/>
    <x v="0"/>
    <n v="25.111111111111111"/>
    <s v="No"/>
    <s v="Normal Students"/>
    <s v="Unbalanced Student"/>
    <x v="0"/>
    <s v="B"/>
  </r>
  <r>
    <n v="402"/>
    <s v="riya"/>
    <x v="1"/>
    <x v="1"/>
    <n v="90"/>
    <n v="86"/>
    <n v="88"/>
    <n v="89"/>
    <s v="Yes"/>
    <n v="6"/>
    <n v="2"/>
    <n v="263"/>
    <x v="1"/>
    <x v="1"/>
    <n v="17.533333333333335"/>
    <s v="No"/>
    <s v="Normal Students"/>
    <s v="Balanced Student"/>
    <x v="0"/>
    <s v="A"/>
  </r>
  <r>
    <n v="403"/>
    <s v="Kunal"/>
    <x v="0"/>
    <x v="2"/>
    <n v="85"/>
    <n v="80"/>
    <n v="82"/>
    <n v="84"/>
    <s v="Yes"/>
    <n v="7"/>
    <n v="3"/>
    <n v="246"/>
    <x v="3"/>
    <x v="1"/>
    <n v="0"/>
    <s v="No"/>
    <s v="Smart Students"/>
    <s v="Balanced Student"/>
    <x v="0"/>
    <s v="A"/>
  </r>
  <r>
    <n v="404"/>
    <s v="ANIL"/>
    <x v="0"/>
    <x v="6"/>
    <n v="70"/>
    <n v="62"/>
    <n v="60"/>
    <n v="66"/>
    <s v="No"/>
    <n v="8"/>
    <n v="5"/>
    <n v="188"/>
    <x v="23"/>
    <x v="0"/>
    <n v="31.333333333333332"/>
    <s v="No"/>
    <s v="Normal Students"/>
    <s v="Unbalanced Student"/>
    <x v="1"/>
    <s v="C"/>
  </r>
  <r>
    <n v="405"/>
    <s v="Priya"/>
    <x v="1"/>
    <x v="1"/>
    <n v="92"/>
    <n v="88"/>
    <n v="90"/>
    <n v="91"/>
    <s v="Yes"/>
    <n v="0"/>
    <n v="2"/>
    <n v="269"/>
    <x v="21"/>
    <x v="1"/>
    <n v="17.933333333333334"/>
    <s v="No"/>
    <s v="Normal Students"/>
    <s v="Unbalanced Student"/>
    <x v="0"/>
    <s v="A"/>
  </r>
  <r>
    <n v="406"/>
    <s v="Rohit"/>
    <x v="0"/>
    <x v="0"/>
    <n v="78"/>
    <n v="72"/>
    <n v="70"/>
    <n v="75"/>
    <s v="Yes"/>
    <n v="7"/>
    <n v="4"/>
    <n v="217"/>
    <x v="16"/>
    <x v="0"/>
    <n v="24.111111111111111"/>
    <s v="No"/>
    <s v="Normal Students"/>
    <s v="Unbalanced Student"/>
    <x v="1"/>
    <s v="B"/>
  </r>
  <r>
    <n v="407"/>
    <s v="Sneha"/>
    <x v="1"/>
    <x v="3"/>
    <n v="87"/>
    <n v="83"/>
    <n v="81"/>
    <n v="85"/>
    <s v="Yes"/>
    <n v="6"/>
    <n v="3"/>
    <n v="249"/>
    <x v="30"/>
    <x v="1"/>
    <n v="20.75"/>
    <s v="No"/>
    <s v="Normal Students"/>
    <s v="Balanced Student"/>
    <x v="0"/>
    <s v="A"/>
  </r>
  <r>
    <n v="408"/>
    <s v="Unknown"/>
    <x v="0"/>
    <x v="6"/>
    <n v="68"/>
    <n v="60"/>
    <n v="58"/>
    <n v="64"/>
    <s v="No"/>
    <n v="8"/>
    <n v="5"/>
    <n v="182"/>
    <x v="36"/>
    <x v="0"/>
    <n v="30.333333333333332"/>
    <s v="No"/>
    <s v="Normal Students"/>
    <s v="Unbalanced Student"/>
    <x v="1"/>
    <s v="C"/>
  </r>
  <r>
    <n v="409"/>
    <s v="Kriti"/>
    <x v="1"/>
    <x v="1"/>
    <n v="91"/>
    <n v="87"/>
    <n v="88"/>
    <n v="90"/>
    <s v="Yes"/>
    <n v="6"/>
    <n v="2"/>
    <n v="265"/>
    <x v="13"/>
    <x v="1"/>
    <n v="17.666666666666664"/>
    <s v="No"/>
    <s v="Normal Students"/>
    <s v="Balanced Student"/>
    <x v="0"/>
    <s v="A"/>
  </r>
  <r>
    <n v="410"/>
    <s v="Nikhil"/>
    <x v="0"/>
    <x v="4"/>
    <n v="94"/>
    <n v="91"/>
    <n v="90"/>
    <n v="92"/>
    <s v="No"/>
    <n v="6"/>
    <n v="2"/>
    <n v="273"/>
    <x v="26"/>
    <x v="1"/>
    <n v="15.166666666666666"/>
    <s v="No"/>
    <s v="Normal Students"/>
    <s v="Balanced Student"/>
    <x v="0"/>
    <s v="A"/>
  </r>
  <r>
    <n v="411"/>
    <s v="Rahul"/>
    <x v="0"/>
    <x v="0"/>
    <n v="80"/>
    <n v="75"/>
    <n v="73"/>
    <n v="78"/>
    <s v="Yes"/>
    <n v="7"/>
    <n v="4"/>
    <n v="226"/>
    <x v="29"/>
    <x v="0"/>
    <n v="25.111111111111111"/>
    <s v="No"/>
    <s v="Normal Students"/>
    <s v="Unbalanced Student"/>
    <x v="0"/>
    <s v="B"/>
  </r>
  <r>
    <n v="412"/>
    <s v="Pooja"/>
    <x v="1"/>
    <x v="3"/>
    <n v="85"/>
    <n v="80"/>
    <n v="82"/>
    <n v="84"/>
    <s v="Yes"/>
    <n v="7"/>
    <n v="3"/>
    <n v="246"/>
    <x v="3"/>
    <x v="1"/>
    <n v="20.5"/>
    <s v="No"/>
    <s v="Normal Students"/>
    <s v="Balanced Student"/>
    <x v="0"/>
    <s v="A"/>
  </r>
  <r>
    <n v="413"/>
    <s v="Deepak"/>
    <x v="0"/>
    <x v="6"/>
    <n v="70"/>
    <n v="62"/>
    <n v="60"/>
    <n v="66"/>
    <s v="No"/>
    <n v="8"/>
    <n v="5"/>
    <n v="188"/>
    <x v="23"/>
    <x v="0"/>
    <n v="31.333333333333332"/>
    <s v="No"/>
    <s v="Normal Students"/>
    <s v="Unbalanced Student"/>
    <x v="1"/>
    <s v="C"/>
  </r>
  <r>
    <n v="414"/>
    <s v="Aisha"/>
    <x v="1"/>
    <x v="1"/>
    <n v="92"/>
    <n v="88"/>
    <n v="90"/>
    <n v="91"/>
    <s v="Yes"/>
    <n v="6"/>
    <n v="2"/>
    <n v="269"/>
    <x v="21"/>
    <x v="1"/>
    <n v="17.933333333333334"/>
    <s v="No"/>
    <s v="Normal Students"/>
    <s v="Balanced Student"/>
    <x v="0"/>
    <s v="A"/>
  </r>
  <r>
    <n v="415"/>
    <s v="Varun"/>
    <x v="0"/>
    <x v="5"/>
    <n v="62"/>
    <n v="52"/>
    <n v="50"/>
    <n v="57"/>
    <s v="No"/>
    <n v="8"/>
    <n v="6"/>
    <n v="159"/>
    <x v="31"/>
    <x v="2"/>
    <n v="53"/>
    <s v="Yes"/>
    <s v="Normal Students"/>
    <s v="Unbalanced Student"/>
    <x v="1"/>
    <s v="D"/>
  </r>
  <r>
    <n v="416"/>
    <s v="Megha"/>
    <x v="1"/>
    <x v="3"/>
    <n v="87"/>
    <n v="83"/>
    <n v="81"/>
    <n v="85"/>
    <s v="Yes"/>
    <n v="6"/>
    <n v="3"/>
    <n v="249"/>
    <x v="30"/>
    <x v="1"/>
    <n v="20.75"/>
    <s v="No"/>
    <s v="Normal Students"/>
    <s v="Balanced Student"/>
    <x v="0"/>
    <s v="A"/>
  </r>
  <r>
    <n v="417"/>
    <s v="Karan"/>
    <x v="0"/>
    <x v="0"/>
    <n v="82"/>
    <n v="76"/>
    <n v="75"/>
    <n v="80"/>
    <s v="No"/>
    <n v="7"/>
    <n v="4"/>
    <n v="231"/>
    <x v="12"/>
    <x v="0"/>
    <n v="25.666666666666668"/>
    <s v="No"/>
    <s v="Normal Students"/>
    <s v="Unbalanced Student"/>
    <x v="0"/>
    <s v="B"/>
  </r>
  <r>
    <n v="418"/>
    <s v="Divya"/>
    <x v="1"/>
    <x v="3"/>
    <n v="85"/>
    <n v="80"/>
    <n v="82"/>
    <n v="84"/>
    <s v="Yes"/>
    <n v="7"/>
    <n v="3"/>
    <n v="246"/>
    <x v="3"/>
    <x v="1"/>
    <n v="20.5"/>
    <s v="No"/>
    <s v="Normal Students"/>
    <s v="Balanced Student"/>
    <x v="0"/>
    <s v="A"/>
  </r>
  <r>
    <n v="419"/>
    <s v="Sunil"/>
    <x v="0"/>
    <x v="4"/>
    <n v="94"/>
    <n v="91"/>
    <n v="90"/>
    <n v="92"/>
    <s v="No"/>
    <n v="6"/>
    <n v="2"/>
    <n v="273"/>
    <x v="26"/>
    <x v="1"/>
    <n v="15.166666666666666"/>
    <s v="No"/>
    <s v="Normal Students"/>
    <s v="Balanced Student"/>
    <x v="0"/>
    <s v="A"/>
  </r>
  <r>
    <n v="420"/>
    <s v="Reena"/>
    <x v="1"/>
    <x v="0"/>
    <n v="79"/>
    <n v="74"/>
    <n v="72"/>
    <n v="76"/>
    <s v="Yes"/>
    <n v="7"/>
    <n v="4"/>
    <n v="222"/>
    <x v="27"/>
    <x v="0"/>
    <n v="24.666666666666668"/>
    <s v="No"/>
    <s v="Normal Students"/>
    <s v="Unbalanced Student"/>
    <x v="1"/>
    <s v="B"/>
  </r>
  <r>
    <n v="421"/>
    <s v="Aman"/>
    <x v="0"/>
    <x v="6"/>
    <n v="70"/>
    <n v="62"/>
    <n v="60"/>
    <n v="66"/>
    <s v="No"/>
    <n v="8"/>
    <n v="5"/>
    <n v="188"/>
    <x v="23"/>
    <x v="0"/>
    <n v="31.333333333333332"/>
    <s v="No"/>
    <s v="Normal Students"/>
    <s v="Unbalanced Student"/>
    <x v="1"/>
    <s v="C"/>
  </r>
  <r>
    <n v="422"/>
    <s v="Kavya"/>
    <x v="1"/>
    <x v="1"/>
    <n v="90"/>
    <n v="86"/>
    <n v="88"/>
    <n v="89"/>
    <s v="Yes"/>
    <n v="6"/>
    <n v="2"/>
    <n v="263"/>
    <x v="1"/>
    <x v="1"/>
    <n v="17.533333333333335"/>
    <s v="No"/>
    <s v="Normal Students"/>
    <s v="Balanced Student"/>
    <x v="0"/>
    <s v="A"/>
  </r>
  <r>
    <n v="423"/>
    <s v="Raj"/>
    <x v="0"/>
    <x v="0"/>
    <n v="80"/>
    <n v="75"/>
    <n v="73"/>
    <n v="78"/>
    <s v="Yes"/>
    <n v="7"/>
    <n v="4"/>
    <n v="226"/>
    <x v="29"/>
    <x v="0"/>
    <n v="25.111111111111111"/>
    <s v="No"/>
    <s v="Normal Students"/>
    <s v="Unbalanced Student"/>
    <x v="0"/>
    <s v="B"/>
  </r>
  <r>
    <n v="424"/>
    <s v="Pallavi"/>
    <x v="1"/>
    <x v="3"/>
    <n v="87"/>
    <n v="83"/>
    <n v="81"/>
    <n v="85"/>
    <s v="Yes"/>
    <n v="6"/>
    <n v="3"/>
    <n v="249"/>
    <x v="30"/>
    <x v="1"/>
    <n v="20.75"/>
    <s v="No"/>
    <s v="Normal Students"/>
    <s v="Balanced Student"/>
    <x v="0"/>
    <s v="A"/>
  </r>
  <r>
    <n v="425"/>
    <s v="Manish"/>
    <x v="0"/>
    <x v="6"/>
    <n v="68"/>
    <n v="60"/>
    <n v="58"/>
    <n v="64"/>
    <s v="No"/>
    <n v="8"/>
    <n v="5"/>
    <n v="182"/>
    <x v="36"/>
    <x v="0"/>
    <n v="30.333333333333332"/>
    <s v="No"/>
    <s v="Normal Students"/>
    <s v="Unbalanced Student"/>
    <x v="1"/>
    <s v="C"/>
  </r>
  <r>
    <n v="426"/>
    <s v="Ritu"/>
    <x v="1"/>
    <x v="1"/>
    <n v="92"/>
    <n v="88"/>
    <n v="90"/>
    <n v="91"/>
    <s v="Yes"/>
    <n v="6"/>
    <n v="2"/>
    <n v="269"/>
    <x v="21"/>
    <x v="1"/>
    <n v="17.933333333333334"/>
    <s v="No"/>
    <s v="Normal Students"/>
    <s v="Balanced Student"/>
    <x v="0"/>
    <s v="A"/>
  </r>
  <r>
    <n v="427"/>
    <s v="Ajay"/>
    <x v="0"/>
    <x v="0"/>
    <n v="78"/>
    <n v="72"/>
    <n v="70"/>
    <n v="75"/>
    <s v="Yes"/>
    <n v="7"/>
    <n v="4"/>
    <n v="217"/>
    <x v="16"/>
    <x v="0"/>
    <n v="24.111111111111111"/>
    <s v="No"/>
    <s v="Normal Students"/>
    <s v="Unbalanced Student"/>
    <x v="1"/>
    <s v="B"/>
  </r>
  <r>
    <n v="428"/>
    <s v="Nisha"/>
    <x v="1"/>
    <x v="3"/>
    <n v="85"/>
    <n v="80"/>
    <n v="82"/>
    <n v="84"/>
    <s v="Yes"/>
    <n v="7"/>
    <n v="3"/>
    <n v="246"/>
    <x v="3"/>
    <x v="1"/>
    <n v="20.5"/>
    <s v="No"/>
    <s v="Normal Students"/>
    <s v="Balanced Student"/>
    <x v="0"/>
    <s v="A"/>
  </r>
  <r>
    <n v="429"/>
    <s v="Vikas"/>
    <x v="0"/>
    <x v="4"/>
    <n v="94"/>
    <n v="91"/>
    <n v="90"/>
    <n v="92"/>
    <s v="No"/>
    <n v="6"/>
    <n v="2"/>
    <n v="273"/>
    <x v="26"/>
    <x v="1"/>
    <n v="15.166666666666666"/>
    <s v="No"/>
    <s v="Normal Students"/>
    <s v="Balanced Student"/>
    <x v="0"/>
    <s v="A"/>
  </r>
  <r>
    <n v="430"/>
    <s v="Shreya"/>
    <x v="1"/>
    <x v="0"/>
    <n v="79"/>
    <n v="74"/>
    <n v="72"/>
    <n v="76"/>
    <s v="Yes"/>
    <n v="7"/>
    <n v="4"/>
    <n v="222"/>
    <x v="27"/>
    <x v="0"/>
    <n v="24.666666666666668"/>
    <s v="No"/>
    <s v="Normal Students"/>
    <s v="Unbalanced Student"/>
    <x v="1"/>
    <s v="B"/>
  </r>
  <r>
    <n v="431"/>
    <s v="Arjun"/>
    <x v="0"/>
    <x v="6"/>
    <n v="70"/>
    <n v="62"/>
    <n v="60"/>
    <n v="66"/>
    <s v="No"/>
    <n v="8"/>
    <n v="5"/>
    <n v="188"/>
    <x v="23"/>
    <x v="0"/>
    <n v="31.333333333333332"/>
    <s v="No"/>
    <s v="Normal Students"/>
    <s v="Unbalanced Student"/>
    <x v="1"/>
    <s v="C"/>
  </r>
  <r>
    <n v="432"/>
    <s v="Komal"/>
    <x v="1"/>
    <x v="1"/>
    <n v="90"/>
    <n v="86"/>
    <n v="88"/>
    <n v="89"/>
    <s v="Yes"/>
    <n v="6"/>
    <n v="2"/>
    <n v="263"/>
    <x v="1"/>
    <x v="1"/>
    <n v="17.533333333333335"/>
    <s v="No"/>
    <s v="Normal Students"/>
    <s v="Balanced Student"/>
    <x v="0"/>
    <s v="A"/>
  </r>
  <r>
    <n v="433"/>
    <s v="Yash"/>
    <x v="0"/>
    <x v="0"/>
    <n v="82"/>
    <n v="76"/>
    <n v="75"/>
    <n v="80"/>
    <s v="No"/>
    <n v="7"/>
    <n v="4"/>
    <n v="231"/>
    <x v="12"/>
    <x v="0"/>
    <n v="25.666666666666668"/>
    <s v="No"/>
    <s v="Normal Students"/>
    <s v="Unbalanced Student"/>
    <x v="0"/>
    <s v="B"/>
  </r>
  <r>
    <n v="434"/>
    <s v="Simran"/>
    <x v="1"/>
    <x v="3"/>
    <n v="87"/>
    <n v="83"/>
    <n v="81"/>
    <n v="85"/>
    <s v="Yes"/>
    <n v="6"/>
    <n v="3"/>
    <n v="249"/>
    <x v="30"/>
    <x v="1"/>
    <n v="20.75"/>
    <s v="No"/>
    <s v="Normal Students"/>
    <s v="Balanced Student"/>
    <x v="0"/>
    <s v="A"/>
  </r>
  <r>
    <n v="435"/>
    <s v="Ravi"/>
    <x v="0"/>
    <x v="6"/>
    <n v="68"/>
    <n v="60"/>
    <n v="58"/>
    <n v="64"/>
    <s v="No"/>
    <n v="8"/>
    <n v="5"/>
    <n v="182"/>
    <x v="36"/>
    <x v="0"/>
    <n v="30.333333333333332"/>
    <s v="No"/>
    <s v="Normal Students"/>
    <s v="Unbalanced Student"/>
    <x v="1"/>
    <s v="C"/>
  </r>
  <r>
    <n v="436"/>
    <s v="Sonia"/>
    <x v="1"/>
    <x v="1"/>
    <n v="92"/>
    <n v="88"/>
    <n v="90"/>
    <n v="91"/>
    <s v="Yes"/>
    <n v="6"/>
    <n v="2"/>
    <n v="269"/>
    <x v="21"/>
    <x v="1"/>
    <n v="17.933333333333334"/>
    <s v="No"/>
    <s v="Normal Students"/>
    <s v="Balanced Student"/>
    <x v="0"/>
    <s v="A"/>
  </r>
  <r>
    <n v="437"/>
    <s v="Kunal"/>
    <x v="0"/>
    <x v="0"/>
    <n v="78"/>
    <n v="72"/>
    <n v="70"/>
    <n v="75"/>
    <s v="Yes"/>
    <n v="7"/>
    <n v="4"/>
    <n v="217"/>
    <x v="16"/>
    <x v="0"/>
    <n v="24.111111111111111"/>
    <s v="No"/>
    <s v="Normal Students"/>
    <s v="Unbalanced Student"/>
    <x v="1"/>
    <s v="B"/>
  </r>
  <r>
    <n v="438"/>
    <s v="Ankit"/>
    <x v="0"/>
    <x v="3"/>
    <n v="85"/>
    <n v="80"/>
    <n v="82"/>
    <n v="84"/>
    <s v="Yes"/>
    <n v="7"/>
    <n v="3"/>
    <n v="246"/>
    <x v="3"/>
    <x v="1"/>
    <n v="20.5"/>
    <s v="No"/>
    <s v="Normal Students"/>
    <s v="Balanced Student"/>
    <x v="0"/>
    <s v="A"/>
  </r>
  <r>
    <n v="439"/>
    <s v="Neha"/>
    <x v="1"/>
    <x v="4"/>
    <n v="94"/>
    <n v="91"/>
    <n v="90"/>
    <n v="92"/>
    <s v="No"/>
    <n v="6"/>
    <n v="2"/>
    <n v="273"/>
    <x v="26"/>
    <x v="1"/>
    <n v="15.166666666666666"/>
    <s v="No"/>
    <s v="Normal Students"/>
    <s v="Balanced Student"/>
    <x v="0"/>
    <s v="A"/>
  </r>
  <r>
    <n v="440"/>
    <s v="Ramesh"/>
    <x v="0"/>
    <x v="6"/>
    <n v="70"/>
    <n v="62"/>
    <n v="60"/>
    <n v="66"/>
    <s v="No"/>
    <n v="8"/>
    <n v="5"/>
    <n v="188"/>
    <x v="23"/>
    <x v="0"/>
    <n v="31.333333333333332"/>
    <s v="No"/>
    <s v="Normal Students"/>
    <s v="Unbalanced Student"/>
    <x v="1"/>
    <s v="C"/>
  </r>
  <r>
    <n v="441"/>
    <s v="Rohit"/>
    <x v="0"/>
    <x v="0"/>
    <n v="78"/>
    <n v="72"/>
    <n v="70"/>
    <n v="75"/>
    <s v="Yes"/>
    <n v="7"/>
    <n v="4"/>
    <n v="217"/>
    <x v="16"/>
    <x v="0"/>
    <n v="24.111111111111111"/>
    <s v="No"/>
    <s v="Normal Students"/>
    <s v="Unbalanced Student"/>
    <x v="1"/>
    <s v="B"/>
  </r>
  <r>
    <n v="447"/>
    <s v="Divya"/>
    <x v="1"/>
    <x v="3"/>
    <n v="85"/>
    <n v="80"/>
    <n v="82"/>
    <n v="84"/>
    <s v="Yes"/>
    <n v="7"/>
    <n v="3"/>
    <n v="246"/>
    <x v="3"/>
    <x v="1"/>
    <n v="20.5"/>
    <s v="No"/>
    <s v="Normal Students"/>
    <s v="Balanced Student"/>
    <x v="0"/>
    <s v="A"/>
  </r>
  <r>
    <n v="452"/>
    <s v="Aman"/>
    <x v="0"/>
    <x v="6"/>
    <n v="70"/>
    <n v="62"/>
    <n v="60"/>
    <n v="66"/>
    <s v="No"/>
    <n v="8"/>
    <n v="5"/>
    <n v="188"/>
    <x v="23"/>
    <x v="0"/>
    <n v="31.333333333333332"/>
    <s v="No"/>
    <s v="Normal Students"/>
    <s v="Unbalanced Student"/>
    <x v="1"/>
    <s v="C"/>
  </r>
  <r>
    <n v="442"/>
    <s v="ANANYA"/>
    <x v="1"/>
    <x v="3"/>
    <n v="88"/>
    <n v="82"/>
    <n v="79"/>
    <n v="85"/>
    <s v="Yes"/>
    <n v="7"/>
    <n v="3"/>
    <n v="246"/>
    <x v="3"/>
    <x v="1"/>
    <n v="20.5"/>
    <s v="No"/>
    <s v="Normal Students"/>
    <s v="Balanced Student"/>
    <x v="0"/>
    <s v="A"/>
  </r>
  <r>
    <n v="443"/>
    <s v="rahul"/>
    <x v="0"/>
    <x v="0"/>
    <n v="85"/>
    <n v="78"/>
    <n v="72"/>
    <n v="80"/>
    <s v="Yes"/>
    <n v="7"/>
    <n v="3"/>
    <n v="230"/>
    <x v="0"/>
    <x v="0"/>
    <n v="25.555555555555557"/>
    <s v="No"/>
    <s v="Normal Students"/>
    <s v="Unbalanced Student"/>
    <x v="0"/>
    <s v="B"/>
  </r>
  <r>
    <n v="444"/>
    <s v="Kriti"/>
    <x v="1"/>
    <x v="2"/>
    <n v="85"/>
    <n v="80"/>
    <n v="82"/>
    <n v="84"/>
    <s v="Yes"/>
    <n v="7"/>
    <n v="3"/>
    <n v="246"/>
    <x v="3"/>
    <x v="1"/>
    <n v="0"/>
    <s v="No"/>
    <s v="Smart Students"/>
    <s v="Balanced Student"/>
    <x v="0"/>
    <s v="A"/>
  </r>
  <r>
    <n v="445"/>
    <s v="Deepak"/>
    <x v="0"/>
    <x v="6"/>
    <n v="70"/>
    <n v="62"/>
    <n v="60"/>
    <n v="66"/>
    <s v="No"/>
    <n v="8"/>
    <n v="5"/>
    <n v="188"/>
    <x v="23"/>
    <x v="0"/>
    <n v="31.333333333333332"/>
    <s v="No"/>
    <s v="Normal Students"/>
    <s v="Unbalanced Student"/>
    <x v="1"/>
    <s v="C"/>
  </r>
  <r>
    <n v="446"/>
    <s v="Pooja"/>
    <x v="1"/>
    <x v="1"/>
    <n v="92"/>
    <n v="88"/>
    <n v="90"/>
    <n v="91"/>
    <s v="Yes"/>
    <n v="6"/>
    <n v="2"/>
    <n v="269"/>
    <x v="21"/>
    <x v="1"/>
    <n v="17.933333333333334"/>
    <s v="No"/>
    <s v="Normal Students"/>
    <s v="Balanced Student"/>
    <x v="0"/>
    <s v="A"/>
  </r>
  <r>
    <n v="448"/>
    <s v="Varun"/>
    <x v="0"/>
    <x v="5"/>
    <n v="62"/>
    <n v="52"/>
    <n v="50"/>
    <n v="57"/>
    <s v="No"/>
    <n v="8"/>
    <n v="6"/>
    <n v="159"/>
    <x v="31"/>
    <x v="2"/>
    <n v="53"/>
    <s v="Yes"/>
    <s v="Normal Students"/>
    <s v="Unbalanced Student"/>
    <x v="1"/>
    <s v="D"/>
  </r>
  <r>
    <n v="449"/>
    <s v="Meera"/>
    <x v="1"/>
    <x v="3"/>
    <n v="87"/>
    <n v="83"/>
    <n v="81"/>
    <n v="85"/>
    <s v="Yes"/>
    <n v="6"/>
    <n v="3"/>
    <n v="249"/>
    <x v="30"/>
    <x v="1"/>
    <n v="20.75"/>
    <s v="No"/>
    <s v="Normal Students"/>
    <s v="Balanced Student"/>
    <x v="0"/>
    <s v="A"/>
  </r>
  <r>
    <n v="450"/>
    <s v="Arun"/>
    <x v="0"/>
    <x v="6"/>
    <n v="68"/>
    <n v="60"/>
    <n v="58"/>
    <n v="64"/>
    <s v="No"/>
    <n v="8"/>
    <n v="5"/>
    <n v="182"/>
    <x v="36"/>
    <x v="0"/>
    <n v="30.333333333333332"/>
    <s v="No"/>
    <s v="Normal Students"/>
    <s v="Unbalanced Student"/>
    <x v="1"/>
    <s v="C"/>
  </r>
  <r>
    <n v="451"/>
    <s v="Riya"/>
    <x v="1"/>
    <x v="1"/>
    <n v="92"/>
    <n v="88"/>
    <n v="90"/>
    <n v="91"/>
    <s v="Yes"/>
    <n v="6"/>
    <n v="2"/>
    <n v="269"/>
    <x v="21"/>
    <x v="1"/>
    <n v="17.933333333333334"/>
    <s v="No"/>
    <s v="Normal Students"/>
    <s v="Balanced Student"/>
    <x v="0"/>
    <s v="A"/>
  </r>
  <r>
    <n v="453"/>
    <s v="Yogesh"/>
    <x v="0"/>
    <x v="0"/>
    <n v="78"/>
    <n v="72"/>
    <n v="70"/>
    <n v="75"/>
    <s v="Yes"/>
    <n v="7"/>
    <n v="4"/>
    <n v="217"/>
    <x v="16"/>
    <x v="0"/>
    <n v="24.111111111111111"/>
    <s v="No"/>
    <s v="Normal Students"/>
    <s v="Unbalanced Student"/>
    <x v="1"/>
    <s v="B"/>
  </r>
  <r>
    <n v="454"/>
    <s v="Sneha"/>
    <x v="1"/>
    <x v="3"/>
    <n v="85"/>
    <n v="80"/>
    <n v="82"/>
    <n v="84"/>
    <s v="Yes"/>
    <n v="7"/>
    <n v="3"/>
    <n v="246"/>
    <x v="3"/>
    <x v="1"/>
    <n v="20.5"/>
    <s v="No"/>
    <s v="Normal Students"/>
    <s v="Balanced Student"/>
    <x v="0"/>
    <s v="A"/>
  </r>
  <r>
    <n v="455"/>
    <s v="Naveen"/>
    <x v="0"/>
    <x v="4"/>
    <n v="94"/>
    <n v="91"/>
    <n v="90"/>
    <n v="92"/>
    <s v="No"/>
    <n v="6"/>
    <n v="2"/>
    <n v="273"/>
    <x v="26"/>
    <x v="1"/>
    <n v="15.166666666666666"/>
    <s v="No"/>
    <s v="Normal Students"/>
    <s v="Balanced Student"/>
    <x v="0"/>
    <s v="A"/>
  </r>
  <r>
    <n v="456"/>
    <s v="Unknown"/>
    <x v="1"/>
    <x v="0"/>
    <n v="79"/>
    <n v="74"/>
    <n v="72"/>
    <n v="76"/>
    <s v="Yes"/>
    <n v="7"/>
    <n v="4"/>
    <n v="222"/>
    <x v="27"/>
    <x v="0"/>
    <n v="24.666666666666668"/>
    <s v="No"/>
    <s v="Normal Students"/>
    <s v="Unbalanced Student"/>
    <x v="1"/>
    <s v="B"/>
  </r>
  <r>
    <n v="457"/>
    <s v="Karan"/>
    <x v="0"/>
    <x v="6"/>
    <n v="70"/>
    <n v="62"/>
    <n v="60"/>
    <n v="66"/>
    <s v="No"/>
    <n v="8"/>
    <n v="5"/>
    <n v="188"/>
    <x v="23"/>
    <x v="0"/>
    <n v="31.333333333333332"/>
    <s v="No"/>
    <s v="Normal Students"/>
    <s v="Unbalanced Student"/>
    <x v="1"/>
    <s v="C"/>
  </r>
  <r>
    <n v="458"/>
    <s v="Aisha"/>
    <x v="1"/>
    <x v="1"/>
    <n v="90"/>
    <n v="86"/>
    <n v="88"/>
    <n v="89"/>
    <s v="Yes"/>
    <n v="6"/>
    <n v="2"/>
    <n v="263"/>
    <x v="1"/>
    <x v="1"/>
    <n v="17.533333333333335"/>
    <s v="No"/>
    <s v="Normal Students"/>
    <s v="Balanced Student"/>
    <x v="0"/>
    <s v="A"/>
  </r>
  <r>
    <n v="459"/>
    <s v="Raj"/>
    <x v="0"/>
    <x v="0"/>
    <n v="82"/>
    <n v="76"/>
    <n v="75"/>
    <n v="80"/>
    <s v="No"/>
    <n v="7"/>
    <n v="4"/>
    <n v="231"/>
    <x v="12"/>
    <x v="0"/>
    <n v="25.666666666666668"/>
    <s v="No"/>
    <s v="Normal Students"/>
    <s v="Unbalanced Student"/>
    <x v="0"/>
    <s v="B"/>
  </r>
  <r>
    <n v="460"/>
    <s v="Simran"/>
    <x v="1"/>
    <x v="3"/>
    <n v="87"/>
    <n v="83"/>
    <n v="81"/>
    <n v="85"/>
    <s v="Yes"/>
    <n v="6"/>
    <n v="3"/>
    <n v="249"/>
    <x v="30"/>
    <x v="1"/>
    <n v="20.75"/>
    <s v="No"/>
    <s v="Normal Students"/>
    <s v="Balanced Student"/>
    <x v="0"/>
    <s v="A"/>
  </r>
  <r>
    <n v="461"/>
    <s v="Aman"/>
    <x v="0"/>
    <x v="6"/>
    <n v="68"/>
    <n v="60"/>
    <n v="58"/>
    <n v="64"/>
    <s v="No"/>
    <n v="8"/>
    <n v="5"/>
    <n v="182"/>
    <x v="36"/>
    <x v="0"/>
    <n v="30.333333333333332"/>
    <s v="No"/>
    <s v="Normal Students"/>
    <s v="Unbalanced Student"/>
    <x v="1"/>
    <s v="C"/>
  </r>
  <r>
    <n v="462"/>
    <s v="Pallavi"/>
    <x v="1"/>
    <x v="1"/>
    <n v="92"/>
    <n v="88"/>
    <n v="90"/>
    <n v="91"/>
    <s v="Yes"/>
    <n v="6"/>
    <n v="2"/>
    <n v="269"/>
    <x v="21"/>
    <x v="1"/>
    <n v="17.933333333333334"/>
    <s v="No"/>
    <s v="Normal Students"/>
    <s v="Balanced Student"/>
    <x v="0"/>
    <s v="A"/>
  </r>
  <r>
    <n v="463"/>
    <s v="Ajay"/>
    <x v="0"/>
    <x v="0"/>
    <n v="78"/>
    <n v="72"/>
    <n v="70"/>
    <n v="75"/>
    <s v="Yes"/>
    <n v="7"/>
    <n v="4"/>
    <n v="217"/>
    <x v="16"/>
    <x v="0"/>
    <n v="24.111111111111111"/>
    <s v="No"/>
    <s v="Normal Students"/>
    <s v="Unbalanced Student"/>
    <x v="1"/>
    <s v="B"/>
  </r>
  <r>
    <n v="464"/>
    <s v="Nisha"/>
    <x v="1"/>
    <x v="3"/>
    <n v="85"/>
    <n v="80"/>
    <n v="82"/>
    <n v="84"/>
    <s v="Yes"/>
    <n v="7"/>
    <n v="3"/>
    <n v="246"/>
    <x v="3"/>
    <x v="1"/>
    <n v="20.5"/>
    <s v="No"/>
    <s v="Normal Students"/>
    <s v="Balanced Student"/>
    <x v="0"/>
    <s v="A"/>
  </r>
  <r>
    <n v="465"/>
    <s v="Vikas"/>
    <x v="0"/>
    <x v="4"/>
    <n v="94"/>
    <n v="91"/>
    <n v="90"/>
    <n v="92"/>
    <s v="No"/>
    <n v="6"/>
    <n v="2"/>
    <n v="273"/>
    <x v="26"/>
    <x v="1"/>
    <n v="15.166666666666666"/>
    <s v="No"/>
    <s v="Normal Students"/>
    <s v="Balanced Student"/>
    <x v="0"/>
    <s v="A"/>
  </r>
  <r>
    <n v="466"/>
    <s v="Shreya"/>
    <x v="1"/>
    <x v="0"/>
    <n v="79"/>
    <n v="74"/>
    <n v="72"/>
    <n v="76"/>
    <s v="Yes"/>
    <n v="7"/>
    <n v="4"/>
    <n v="222"/>
    <x v="27"/>
    <x v="0"/>
    <n v="24.666666666666668"/>
    <s v="No"/>
    <s v="Normal Students"/>
    <s v="Unbalanced Student"/>
    <x v="1"/>
    <s v="B"/>
  </r>
  <r>
    <n v="467"/>
    <s v="Arjun"/>
    <x v="0"/>
    <x v="6"/>
    <n v="70"/>
    <n v="62"/>
    <n v="60"/>
    <n v="66"/>
    <s v="No"/>
    <n v="8"/>
    <n v="5"/>
    <n v="188"/>
    <x v="23"/>
    <x v="0"/>
    <n v="31.333333333333332"/>
    <s v="No"/>
    <s v="Normal Students"/>
    <s v="Unbalanced Student"/>
    <x v="1"/>
    <s v="C"/>
  </r>
  <r>
    <n v="468"/>
    <s v="Komal"/>
    <x v="1"/>
    <x v="1"/>
    <n v="90"/>
    <n v="86"/>
    <n v="88"/>
    <n v="89"/>
    <s v="Yes"/>
    <n v="6"/>
    <n v="2"/>
    <n v="263"/>
    <x v="1"/>
    <x v="1"/>
    <n v="17.533333333333335"/>
    <s v="No"/>
    <s v="Normal Students"/>
    <s v="Balanced Student"/>
    <x v="0"/>
    <s v="A"/>
  </r>
  <r>
    <n v="469"/>
    <s v="Yash"/>
    <x v="0"/>
    <x v="0"/>
    <n v="82"/>
    <n v="76"/>
    <n v="75"/>
    <n v="80"/>
    <s v="No"/>
    <n v="7"/>
    <n v="4"/>
    <n v="231"/>
    <x v="12"/>
    <x v="0"/>
    <n v="25.666666666666668"/>
    <s v="No"/>
    <s v="Normal Students"/>
    <s v="Unbalanced Student"/>
    <x v="0"/>
    <s v="B"/>
  </r>
  <r>
    <n v="470"/>
    <s v="Sonia"/>
    <x v="1"/>
    <x v="3"/>
    <n v="87"/>
    <n v="83"/>
    <n v="81"/>
    <n v="85"/>
    <s v="Yes"/>
    <n v="6"/>
    <n v="3"/>
    <n v="249"/>
    <x v="30"/>
    <x v="1"/>
    <n v="20.75"/>
    <s v="No"/>
    <s v="Normal Students"/>
    <s v="Balanced Student"/>
    <x v="0"/>
    <s v="A"/>
  </r>
  <r>
    <n v="471"/>
    <s v="Ravi"/>
    <x v="0"/>
    <x v="6"/>
    <n v="68"/>
    <n v="60"/>
    <n v="58"/>
    <n v="64"/>
    <s v="No"/>
    <n v="8"/>
    <n v="5"/>
    <n v="182"/>
    <x v="36"/>
    <x v="0"/>
    <n v="30.333333333333332"/>
    <s v="No"/>
    <s v="Normal Students"/>
    <s v="Unbalanced Student"/>
    <x v="1"/>
    <s v="C"/>
  </r>
  <r>
    <n v="472"/>
    <s v="Priya"/>
    <x v="1"/>
    <x v="1"/>
    <n v="92"/>
    <n v="88"/>
    <n v="90"/>
    <n v="91"/>
    <s v="Yes"/>
    <n v="6"/>
    <n v="2"/>
    <n v="269"/>
    <x v="21"/>
    <x v="1"/>
    <n v="17.933333333333334"/>
    <s v="No"/>
    <s v="Normal Students"/>
    <s v="Balanced Student"/>
    <x v="0"/>
    <s v="A"/>
  </r>
  <r>
    <n v="473"/>
    <s v="Kunal"/>
    <x v="0"/>
    <x v="0"/>
    <n v="78"/>
    <n v="72"/>
    <n v="70"/>
    <n v="75"/>
    <s v="Yes"/>
    <n v="7"/>
    <n v="4"/>
    <n v="217"/>
    <x v="16"/>
    <x v="0"/>
    <n v="24.111111111111111"/>
    <s v="No"/>
    <s v="Normal Students"/>
    <s v="Unbalanced Student"/>
    <x v="1"/>
    <s v="B"/>
  </r>
  <r>
    <n v="474"/>
    <s v="Ankit"/>
    <x v="0"/>
    <x v="3"/>
    <n v="85"/>
    <n v="80"/>
    <n v="82"/>
    <n v="84"/>
    <s v="Yes"/>
    <n v="7"/>
    <n v="3"/>
    <n v="246"/>
    <x v="3"/>
    <x v="1"/>
    <n v="20.5"/>
    <s v="No"/>
    <s v="Normal Students"/>
    <s v="Balanced Student"/>
    <x v="0"/>
    <s v="A"/>
  </r>
  <r>
    <n v="475"/>
    <s v="Neha"/>
    <x v="1"/>
    <x v="4"/>
    <n v="94"/>
    <n v="91"/>
    <n v="90"/>
    <n v="92"/>
    <s v="No"/>
    <n v="6"/>
    <n v="2"/>
    <n v="273"/>
    <x v="26"/>
    <x v="1"/>
    <n v="15.166666666666666"/>
    <s v="No"/>
    <s v="Normal Students"/>
    <s v="Balanced Student"/>
    <x v="0"/>
    <s v="A"/>
  </r>
  <r>
    <n v="476"/>
    <s v="Ramesh"/>
    <x v="0"/>
    <x v="6"/>
    <n v="70"/>
    <n v="62"/>
    <n v="60"/>
    <n v="66"/>
    <s v="No"/>
    <n v="8"/>
    <n v="5"/>
    <n v="188"/>
    <x v="23"/>
    <x v="0"/>
    <n v="31.333333333333332"/>
    <s v="No"/>
    <s v="Normal Students"/>
    <s v="Unbalanced Student"/>
    <x v="1"/>
    <s v="C"/>
  </r>
  <r>
    <n v="477"/>
    <s v="Aarti"/>
    <x v="1"/>
    <x v="1"/>
    <n v="90"/>
    <n v="86"/>
    <n v="88"/>
    <n v="89"/>
    <s v="Yes"/>
    <n v="6"/>
    <n v="2"/>
    <n v="263"/>
    <x v="1"/>
    <x v="1"/>
    <n v="17.533333333333335"/>
    <s v="No"/>
    <s v="Normal Students"/>
    <s v="Balanced Student"/>
    <x v="0"/>
    <s v="A"/>
  </r>
  <r>
    <n v="478"/>
    <s v="Sameer"/>
    <x v="0"/>
    <x v="0"/>
    <n v="82"/>
    <n v="76"/>
    <n v="75"/>
    <n v="80"/>
    <s v="No"/>
    <n v="7"/>
    <n v="4"/>
    <n v="231"/>
    <x v="12"/>
    <x v="0"/>
    <n v="25.666666666666668"/>
    <s v="No"/>
    <s v="Normal Students"/>
    <s v="Unbalanced Student"/>
    <x v="0"/>
    <s v="B"/>
  </r>
  <r>
    <n v="479"/>
    <s v="Priya"/>
    <x v="1"/>
    <x v="3"/>
    <n v="87"/>
    <n v="83"/>
    <n v="81"/>
    <n v="85"/>
    <s v="Yes"/>
    <n v="6"/>
    <n v="3"/>
    <n v="249"/>
    <x v="30"/>
    <x v="1"/>
    <n v="20.75"/>
    <s v="No"/>
    <s v="Normal Students"/>
    <s v="Balanced Student"/>
    <x v="0"/>
    <s v="A"/>
  </r>
  <r>
    <n v="480"/>
    <s v="Sunita"/>
    <x v="1"/>
    <x v="6"/>
    <n v="68"/>
    <n v="60"/>
    <n v="58"/>
    <n v="64"/>
    <s v="No"/>
    <n v="8"/>
    <n v="5"/>
    <n v="182"/>
    <x v="36"/>
    <x v="0"/>
    <n v="30.333333333333332"/>
    <s v="No"/>
    <s v="Normal Students"/>
    <s v="Unbalanced Student"/>
    <x v="1"/>
    <s v="C"/>
  </r>
  <r>
    <n v="481"/>
    <s v="Harsh"/>
    <x v="0"/>
    <x v="1"/>
    <n v="92"/>
    <n v="88"/>
    <n v="90"/>
    <n v="91"/>
    <s v="Yes"/>
    <n v="6"/>
    <n v="2"/>
    <n v="269"/>
    <x v="21"/>
    <x v="1"/>
    <n v="17.933333333333334"/>
    <s v="No"/>
    <s v="Normal Students"/>
    <s v="Balanced Student"/>
    <x v="0"/>
    <s v="A"/>
  </r>
  <r>
    <n v="482"/>
    <s v="Imran"/>
    <x v="0"/>
    <x v="0"/>
    <n v="78"/>
    <n v="72"/>
    <n v="70"/>
    <n v="75"/>
    <s v="Yes"/>
    <n v="7"/>
    <n v="4"/>
    <n v="217"/>
    <x v="16"/>
    <x v="0"/>
    <n v="24.111111111111111"/>
    <s v="No"/>
    <s v="Normal Students"/>
    <s v="Unbalanced Student"/>
    <x v="1"/>
    <s v="B"/>
  </r>
  <r>
    <n v="483"/>
    <s v="Saloni"/>
    <x v="1"/>
    <x v="3"/>
    <n v="85"/>
    <n v="80"/>
    <n v="82"/>
    <n v="84"/>
    <s v="Yes"/>
    <n v="7"/>
    <n v="3"/>
    <n v="246"/>
    <x v="3"/>
    <x v="1"/>
    <n v="20.5"/>
    <s v="No"/>
    <s v="Normal Students"/>
    <s v="Balanced Student"/>
    <x v="0"/>
    <s v="A"/>
  </r>
  <r>
    <n v="484"/>
    <s v="Nitin"/>
    <x v="0"/>
    <x v="4"/>
    <n v="94"/>
    <n v="91"/>
    <n v="90"/>
    <n v="92"/>
    <s v="No"/>
    <n v="6"/>
    <n v="2"/>
    <n v="273"/>
    <x v="26"/>
    <x v="1"/>
    <n v="15.166666666666666"/>
    <s v="No"/>
    <s v="Normal Students"/>
    <s v="Balanced Student"/>
    <x v="0"/>
    <s v="A"/>
  </r>
  <r>
    <n v="485"/>
    <s v="Rekha"/>
    <x v="1"/>
    <x v="0"/>
    <n v="79"/>
    <n v="74"/>
    <n v="72"/>
    <n v="76"/>
    <s v="Yes"/>
    <n v="7"/>
    <n v="4"/>
    <n v="222"/>
    <x v="27"/>
    <x v="0"/>
    <n v="24.666666666666668"/>
    <s v="No"/>
    <s v="Normal Students"/>
    <s v="Unbalanced Student"/>
    <x v="1"/>
    <s v="B"/>
  </r>
  <r>
    <n v="486"/>
    <s v="Kabir"/>
    <x v="0"/>
    <x v="6"/>
    <n v="70"/>
    <n v="62"/>
    <n v="60"/>
    <n v="66"/>
    <s v="No"/>
    <n v="8"/>
    <n v="5"/>
    <n v="188"/>
    <x v="23"/>
    <x v="0"/>
    <n v="31.333333333333332"/>
    <s v="No"/>
    <s v="Normal Students"/>
    <s v="Unbalanced Student"/>
    <x v="1"/>
    <s v="C"/>
  </r>
  <r>
    <n v="487"/>
    <s v="Diya"/>
    <x v="1"/>
    <x v="1"/>
    <n v="90"/>
    <n v="86"/>
    <n v="88"/>
    <n v="89"/>
    <s v="Yes"/>
    <n v="6"/>
    <n v="2"/>
    <n v="263"/>
    <x v="1"/>
    <x v="1"/>
    <n v="17.533333333333335"/>
    <s v="No"/>
    <s v="Normal Students"/>
    <s v="Balanced Student"/>
    <x v="0"/>
    <s v="A"/>
  </r>
  <r>
    <n v="488"/>
    <s v="Aarav"/>
    <x v="0"/>
    <x v="0"/>
    <n v="82"/>
    <n v="76"/>
    <n v="75"/>
    <n v="80"/>
    <s v="No"/>
    <n v="7"/>
    <n v="4"/>
    <n v="231"/>
    <x v="12"/>
    <x v="0"/>
    <n v="25.666666666666668"/>
    <s v="No"/>
    <s v="Normal Students"/>
    <s v="Unbalanced Student"/>
    <x v="0"/>
    <s v="B"/>
  </r>
  <r>
    <n v="489"/>
    <s v="Unknown"/>
    <x v="0"/>
    <x v="0"/>
    <n v="80"/>
    <n v="75"/>
    <n v="73"/>
    <n v="78"/>
    <s v="Yes"/>
    <n v="7"/>
    <n v="4"/>
    <n v="226"/>
    <x v="29"/>
    <x v="0"/>
    <n v="25.111111111111111"/>
    <s v="No"/>
    <s v="Normal Students"/>
    <s v="Unbalanced Student"/>
    <x v="0"/>
    <s v="B"/>
  </r>
  <r>
    <n v="490"/>
    <s v="riya"/>
    <x v="1"/>
    <x v="1"/>
    <n v="90"/>
    <n v="86"/>
    <n v="88"/>
    <n v="89"/>
    <s v="Yes"/>
    <n v="6"/>
    <n v="2"/>
    <n v="263"/>
    <x v="1"/>
    <x v="1"/>
    <n v="17.533333333333335"/>
    <s v="No"/>
    <s v="Normal Students"/>
    <s v="Balanced Student"/>
    <x v="0"/>
    <s v="A"/>
  </r>
  <r>
    <n v="491"/>
    <s v="Kunal"/>
    <x v="0"/>
    <x v="2"/>
    <n v="85"/>
    <n v="80"/>
    <n v="82"/>
    <n v="84"/>
    <s v="Yes"/>
    <n v="7"/>
    <n v="3"/>
    <n v="246"/>
    <x v="3"/>
    <x v="1"/>
    <n v="0"/>
    <s v="No"/>
    <s v="Smart Students"/>
    <s v="Balanced Student"/>
    <x v="0"/>
    <s v="A"/>
  </r>
  <r>
    <n v="492"/>
    <s v="ANIL"/>
    <x v="0"/>
    <x v="6"/>
    <n v="70"/>
    <n v="62"/>
    <n v="60"/>
    <n v="66"/>
    <s v="No"/>
    <n v="8"/>
    <n v="5"/>
    <n v="188"/>
    <x v="23"/>
    <x v="0"/>
    <n v="31.333333333333332"/>
    <s v="No"/>
    <s v="Normal Students"/>
    <s v="Unbalanced Student"/>
    <x v="1"/>
    <s v="C"/>
  </r>
  <r>
    <n v="493"/>
    <s v="Priya"/>
    <x v="1"/>
    <x v="1"/>
    <n v="92"/>
    <n v="88"/>
    <n v="90"/>
    <n v="91"/>
    <s v="Yes"/>
    <n v="0"/>
    <n v="2"/>
    <n v="269"/>
    <x v="21"/>
    <x v="1"/>
    <n v="17.933333333333334"/>
    <s v="No"/>
    <s v="Normal Students"/>
    <s v="Unbalanced Student"/>
    <x v="0"/>
    <s v="A"/>
  </r>
  <r>
    <n v="494"/>
    <s v="Rohit"/>
    <x v="0"/>
    <x v="0"/>
    <n v="78"/>
    <n v="72"/>
    <n v="70"/>
    <n v="75"/>
    <s v="Yes"/>
    <n v="7"/>
    <n v="4"/>
    <n v="217"/>
    <x v="16"/>
    <x v="0"/>
    <n v="24.111111111111111"/>
    <s v="No"/>
    <s v="Normal Students"/>
    <s v="Unbalanced Student"/>
    <x v="1"/>
    <s v="B"/>
  </r>
  <r>
    <n v="495"/>
    <s v="Sneha"/>
    <x v="1"/>
    <x v="3"/>
    <n v="87"/>
    <n v="83"/>
    <n v="81"/>
    <n v="85"/>
    <s v="Yes"/>
    <n v="6"/>
    <n v="3"/>
    <n v="249"/>
    <x v="30"/>
    <x v="1"/>
    <n v="20.75"/>
    <s v="No"/>
    <s v="Normal Students"/>
    <s v="Balanced Student"/>
    <x v="0"/>
    <s v="A"/>
  </r>
  <r>
    <n v="496"/>
    <s v="Unknown"/>
    <x v="1"/>
    <x v="6"/>
    <n v="68"/>
    <n v="60"/>
    <n v="58"/>
    <n v="64"/>
    <s v="No"/>
    <n v="8"/>
    <n v="5"/>
    <n v="182"/>
    <x v="36"/>
    <x v="0"/>
    <n v="30.333333333333332"/>
    <s v="No"/>
    <s v="Normal Students"/>
    <s v="Unbalanced Student"/>
    <x v="1"/>
    <s v="C"/>
  </r>
  <r>
    <n v="497"/>
    <s v="Kriti"/>
    <x v="1"/>
    <x v="1"/>
    <n v="91"/>
    <n v="87"/>
    <n v="88"/>
    <n v="90"/>
    <s v="Yes"/>
    <n v="6"/>
    <n v="2"/>
    <n v="265"/>
    <x v="13"/>
    <x v="1"/>
    <n v="17.666666666666664"/>
    <s v="No"/>
    <s v="Normal Students"/>
    <s v="Balanced Student"/>
    <x v="0"/>
    <s v="A"/>
  </r>
  <r>
    <n v="498"/>
    <s v="Nikhil"/>
    <x v="0"/>
    <x v="4"/>
    <n v="94"/>
    <n v="91"/>
    <n v="90"/>
    <n v="92"/>
    <s v="No"/>
    <n v="6"/>
    <n v="2"/>
    <n v="273"/>
    <x v="26"/>
    <x v="1"/>
    <n v="15.166666666666666"/>
    <s v="No"/>
    <s v="Normal Students"/>
    <s v="Balanced Student"/>
    <x v="0"/>
    <s v="A"/>
  </r>
  <r>
    <n v="499"/>
    <s v="Rahul"/>
    <x v="0"/>
    <x v="0"/>
    <n v="80"/>
    <n v="75"/>
    <n v="73"/>
    <n v="78"/>
    <s v="Yes"/>
    <n v="7"/>
    <n v="4"/>
    <n v="226"/>
    <x v="29"/>
    <x v="0"/>
    <n v="25.111111111111111"/>
    <s v="No"/>
    <s v="Normal Students"/>
    <s v="Unbalanced Student"/>
    <x v="0"/>
    <s v="B"/>
  </r>
  <r>
    <n v="500"/>
    <s v="Pooja"/>
    <x v="1"/>
    <x v="3"/>
    <n v="85"/>
    <n v="80"/>
    <n v="82"/>
    <n v="84"/>
    <s v="Yes"/>
    <n v="7"/>
    <n v="3"/>
    <n v="246"/>
    <x v="3"/>
    <x v="1"/>
    <n v="20.5"/>
    <s v="No"/>
    <s v="Normal Students"/>
    <s v="Balanced Student"/>
    <x v="0"/>
    <s 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B2:C5" firstHeaderRow="1" firstDataRow="1" firstDataCol="1"/>
  <pivotFields count="2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2" showAll="0"/>
    <pivotField dataField="1" numFmtId="2" showAll="0"/>
    <pivotField showAll="0"/>
    <pivotField numFmtId="2"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Average_Score" fld="12" subtotal="average" baseField="2" baseItem="1"/>
  </dataFields>
  <formats count="3">
    <format dxfId="18">
      <pivotArea collapsedLevelsAreSubtotals="1" fieldPosition="0">
        <references count="1">
          <reference field="2" count="1">
            <x v="0"/>
          </reference>
        </references>
      </pivotArea>
    </format>
    <format dxfId="17">
      <pivotArea collapsedLevelsAreSubtotals="1" fieldPosition="0">
        <references count="1">
          <reference field="2" count="1">
            <x v="1"/>
          </reference>
        </references>
      </pivotArea>
    </format>
    <format dxfId="16">
      <pivotArea grandRow="1" outline="0" collapsedLevelsAreSubtotals="1" fieldPosition="0"/>
    </format>
  </formats>
  <chartFormats count="12">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B11:C15" firstHeaderRow="1" firstDataRow="1" firstDataCol="1"/>
  <pivotFields count="2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dataField="1" numFmtId="2" showAll="0"/>
    <pivotField showAll="0">
      <items count="4">
        <item x="1"/>
        <item x="0"/>
        <item x="2"/>
        <item t="default"/>
      </items>
    </pivotField>
    <pivotField numFmtId="2" showAll="0"/>
    <pivotField showAll="0"/>
    <pivotField showAll="0"/>
    <pivotField showAll="0"/>
    <pivotField axis="axisRow" showAll="0">
      <items count="4">
        <item x="0"/>
        <item x="1"/>
        <item x="2"/>
        <item t="default"/>
      </items>
    </pivotField>
    <pivotField showAll="0"/>
  </pivotFields>
  <rowFields count="1">
    <field x="18"/>
  </rowFields>
  <rowItems count="4">
    <i>
      <x/>
    </i>
    <i>
      <x v="1"/>
    </i>
    <i>
      <x v="2"/>
    </i>
    <i t="grand">
      <x/>
    </i>
  </rowItems>
  <colItems count="1">
    <i/>
  </colItems>
  <dataFields count="1">
    <dataField name="Average of Average_Score" fld="12" subtotal="average" baseField="18" baseItem="0"/>
  </dataFields>
  <formats count="4">
    <format dxfId="22">
      <pivotArea collapsedLevelsAreSubtotals="1" fieldPosition="0">
        <references count="1">
          <reference field="18" count="1">
            <x v="0"/>
          </reference>
        </references>
      </pivotArea>
    </format>
    <format dxfId="21">
      <pivotArea collapsedLevelsAreSubtotals="1" fieldPosition="0">
        <references count="1">
          <reference field="18" count="1">
            <x v="1"/>
          </reference>
        </references>
      </pivotArea>
    </format>
    <format dxfId="20">
      <pivotArea collapsedLevelsAreSubtotals="1" fieldPosition="0">
        <references count="1">
          <reference field="18" count="1">
            <x v="2"/>
          </reference>
        </references>
      </pivotArea>
    </format>
    <format dxfId="19">
      <pivotArea grandRow="1" outline="0" collapsedLevelsAreSubtotals="1" fieldPosition="0"/>
    </format>
  </formats>
  <chartFormats count="3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8" count="1" selected="0">
            <x v="2"/>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8" count="1" selected="0">
            <x v="2"/>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F11:G15" firstHeaderRow="1" firstDataRow="1" firstDataCol="1"/>
  <pivotFields count="2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numFmtId="2" showAll="0"/>
    <pivotField axis="axisRow" showAll="0">
      <items count="4">
        <item x="1"/>
        <item x="0"/>
        <item x="2"/>
        <item t="default"/>
      </items>
    </pivotField>
    <pivotField numFmtId="2"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tudent_ID" fld="0" subtotal="count" baseField="13" baseItem="0"/>
  </dataField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3" count="1" selected="0">
            <x v="0"/>
          </reference>
        </references>
      </pivotArea>
    </chartFormat>
    <chartFormat chart="12" format="2">
      <pivotArea type="data" outline="0" fieldPosition="0">
        <references count="2">
          <reference field="4294967294" count="1" selected="0">
            <x v="0"/>
          </reference>
          <reference field="13" count="1" selected="0">
            <x v="1"/>
          </reference>
        </references>
      </pivotArea>
    </chartFormat>
    <chartFormat chart="12" format="3">
      <pivotArea type="data" outline="0" fieldPosition="0">
        <references count="2">
          <reference field="4294967294" count="1" selected="0">
            <x v="0"/>
          </reference>
          <reference field="13" count="1" selected="0">
            <x v="2"/>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3" count="1" selected="0">
            <x v="2"/>
          </reference>
        </references>
      </pivotArea>
    </chartFormat>
    <chartFormat chart="1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J6" firstHeaderRow="1" firstDataRow="2" firstDataCol="1"/>
  <pivotFields count="20">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2" showAll="0"/>
    <pivotField numFmtId="2" showAll="0"/>
    <pivotField axis="axisCol" showAll="0">
      <items count="4">
        <item x="1"/>
        <item x="0"/>
        <item x="2"/>
        <item t="default"/>
      </items>
    </pivotField>
    <pivotField numFmtId="2" showAll="0"/>
    <pivotField showAll="0"/>
    <pivotField showAll="0"/>
    <pivotField showAll="0"/>
    <pivotField showAll="0"/>
    <pivotField showAll="0"/>
  </pivotFields>
  <rowFields count="1">
    <field x="2"/>
  </rowFields>
  <rowItems count="3">
    <i>
      <x/>
    </i>
    <i>
      <x v="1"/>
    </i>
    <i t="grand">
      <x/>
    </i>
  </rowItems>
  <colFields count="1">
    <field x="13"/>
  </colFields>
  <colItems count="4">
    <i>
      <x/>
    </i>
    <i>
      <x v="1"/>
    </i>
    <i>
      <x v="2"/>
    </i>
    <i t="grand">
      <x/>
    </i>
  </colItems>
  <dataFields count="1">
    <dataField name="Count of Student_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3" name="PivotTable1"/>
    <pivotTable tabId="3" name="PivotTable3"/>
    <pivotTable tabId="3" name="PivotTable5"/>
  </pivotTables>
  <data>
    <tabular pivotCacheId="191509799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erformance" sourceName="Performance">
  <pivotTables>
    <pivotTable tabId="3" name="PivotTable2"/>
  </pivotTables>
  <data>
    <tabular pivotCacheId="191509799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endance_Group" sourceName="Attendance_Group">
  <pivotTables>
    <pivotTable tabId="3" name="PivotTable2"/>
  </pivotTables>
  <data>
    <tabular pivotCacheId="19150979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Performance" cache="Slicer_Performance" caption="Performance" rowHeight="241300"/>
  <slicer name="Attendance_Group" cache="Slicer_Attendance_Group" caption="Attendance_Group" rowHeight="241300"/>
</slicers>
</file>

<file path=xl/tables/table1.xml><?xml version="1.0" encoding="utf-8"?>
<table xmlns="http://schemas.openxmlformats.org/spreadsheetml/2006/main" id="1" name="Table1" displayName="Table1" ref="A1:T501" totalsRowShown="0">
  <autoFilter ref="A1:T501"/>
  <tableColumns count="20">
    <tableColumn id="1" name="Student_ID"/>
    <tableColumn id="2" name="Name"/>
    <tableColumn id="3" name="Gender"/>
    <tableColumn id="4" name="Study_Hours_Per_Day"/>
    <tableColumn id="5" name="Attendance (%)"/>
    <tableColumn id="6" name="Assignment_Score"/>
    <tableColumn id="7" name="Midterm_Score"/>
    <tableColumn id="8" name="Final_Exam_Score"/>
    <tableColumn id="9" name="Extra_Activities"/>
    <tableColumn id="10" name="Sleep_Hours"/>
    <tableColumn id="11" name="Internet_Usage (hrs/day)"/>
    <tableColumn id="12" name="Total_Score"/>
    <tableColumn id="13" name="Average_Score"/>
    <tableColumn id="14" name="Performance"/>
    <tableColumn id="15" name="Study_Efficiency"/>
    <tableColumn id="16" name="At_Risk"/>
    <tableColumn id="17" name="Smart_Students"/>
    <tableColumn id="18" name="Balanced_Student"/>
    <tableColumn id="19" name="Attendance_Group"/>
    <tableColumn id="20" name="Gra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desbord 1">
      <a:dk1>
        <a:srgbClr val="14213D"/>
      </a:dk1>
      <a:lt1>
        <a:srgbClr val="FFFFFF"/>
      </a:lt1>
      <a:dk2>
        <a:srgbClr val="46556E"/>
      </a:dk2>
      <a:lt2>
        <a:srgbClr val="F5F7FA"/>
      </a:lt2>
      <a:accent1>
        <a:srgbClr val="2F80ED"/>
      </a:accent1>
      <a:accent2>
        <a:srgbClr val="569BFF"/>
      </a:accent2>
      <a:accent3>
        <a:srgbClr val="27AE60"/>
      </a:accent3>
      <a:accent4>
        <a:srgbClr val="F2C94C"/>
      </a:accent4>
      <a:accent5>
        <a:srgbClr val="EB5757"/>
      </a:accent5>
      <a:accent6>
        <a:srgbClr val="828282"/>
      </a:accent6>
      <a:hlink>
        <a:srgbClr val="2F80ED"/>
      </a:hlink>
      <a:folHlink>
        <a:srgbClr val="82828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8"/>
  <sheetViews>
    <sheetView zoomScale="85" zoomScaleNormal="85" workbookViewId="0">
      <selection activeCell="N21" sqref="N21"/>
    </sheetView>
  </sheetViews>
  <sheetFormatPr defaultRowHeight="14.5"/>
  <cols>
    <col min="1" max="1" width="10.08984375" bestFit="1" customWidth="1"/>
    <col min="2" max="2" width="8.90625" bestFit="1" customWidth="1"/>
    <col min="4" max="4" width="19.54296875" bestFit="1" customWidth="1"/>
    <col min="5" max="5" width="13.6328125" bestFit="1" customWidth="1"/>
    <col min="6" max="6" width="16.08984375" bestFit="1" customWidth="1"/>
    <col min="7" max="7" width="13.7265625" bestFit="1" customWidth="1"/>
    <col min="8" max="8" width="15.90625" bestFit="1" customWidth="1"/>
    <col min="11" max="11" width="22" bestFit="1" customWidth="1"/>
  </cols>
  <sheetData>
    <row r="1" spans="1:11">
      <c r="A1" t="s">
        <v>0</v>
      </c>
      <c r="B1" t="s">
        <v>1</v>
      </c>
      <c r="C1" t="s">
        <v>2</v>
      </c>
      <c r="D1" t="s">
        <v>3</v>
      </c>
      <c r="E1" t="s">
        <v>4</v>
      </c>
      <c r="F1" t="s">
        <v>5</v>
      </c>
      <c r="G1" t="s">
        <v>6</v>
      </c>
      <c r="H1" t="s">
        <v>7</v>
      </c>
      <c r="I1" t="s">
        <v>8</v>
      </c>
      <c r="J1" t="s">
        <v>9</v>
      </c>
      <c r="K1" t="s">
        <v>10</v>
      </c>
    </row>
    <row r="2" spans="1:11">
      <c r="A2">
        <v>1</v>
      </c>
      <c r="B2" t="s">
        <v>11</v>
      </c>
      <c r="C2" t="s">
        <v>12</v>
      </c>
      <c r="D2">
        <v>3</v>
      </c>
      <c r="E2">
        <v>85</v>
      </c>
      <c r="F2">
        <v>78</v>
      </c>
      <c r="G2">
        <v>72</v>
      </c>
      <c r="H2">
        <v>80</v>
      </c>
      <c r="I2" t="s">
        <v>13</v>
      </c>
      <c r="J2">
        <v>7</v>
      </c>
      <c r="K2">
        <v>3</v>
      </c>
    </row>
    <row r="3" spans="1:11">
      <c r="A3">
        <v>2</v>
      </c>
      <c r="B3" t="s">
        <v>14</v>
      </c>
      <c r="C3" t="s">
        <v>15</v>
      </c>
      <c r="D3">
        <v>5</v>
      </c>
      <c r="E3">
        <v>92</v>
      </c>
      <c r="F3">
        <v>88</v>
      </c>
      <c r="G3">
        <v>85</v>
      </c>
      <c r="H3">
        <v>90</v>
      </c>
      <c r="I3" t="s">
        <v>16</v>
      </c>
      <c r="J3">
        <v>6</v>
      </c>
      <c r="K3">
        <v>2</v>
      </c>
    </row>
    <row r="4" spans="1:11">
      <c r="A4">
        <v>3</v>
      </c>
      <c r="B4" t="s">
        <v>17</v>
      </c>
      <c r="C4" t="s">
        <v>12</v>
      </c>
      <c r="E4">
        <v>70</v>
      </c>
      <c r="F4">
        <v>60</v>
      </c>
      <c r="G4">
        <v>58</v>
      </c>
      <c r="H4">
        <v>62</v>
      </c>
      <c r="I4" t="s">
        <v>13</v>
      </c>
      <c r="J4">
        <v>8</v>
      </c>
      <c r="K4">
        <v>5</v>
      </c>
    </row>
    <row r="5" spans="1:11">
      <c r="A5">
        <v>4</v>
      </c>
      <c r="B5" t="s">
        <v>18</v>
      </c>
      <c r="C5" t="s">
        <v>15</v>
      </c>
      <c r="D5">
        <v>4</v>
      </c>
      <c r="E5">
        <v>88</v>
      </c>
      <c r="F5">
        <v>82</v>
      </c>
      <c r="G5">
        <v>79</v>
      </c>
      <c r="H5">
        <v>85</v>
      </c>
      <c r="I5" t="s">
        <v>13</v>
      </c>
      <c r="J5">
        <v>7</v>
      </c>
    </row>
    <row r="6" spans="1:11">
      <c r="A6">
        <v>5</v>
      </c>
      <c r="B6" t="s">
        <v>19</v>
      </c>
      <c r="C6" t="s">
        <v>12</v>
      </c>
      <c r="D6">
        <v>6</v>
      </c>
      <c r="E6">
        <v>95</v>
      </c>
      <c r="F6">
        <v>90</v>
      </c>
      <c r="G6">
        <v>92</v>
      </c>
      <c r="H6">
        <v>94</v>
      </c>
      <c r="I6" t="s">
        <v>16</v>
      </c>
      <c r="J6">
        <v>6</v>
      </c>
      <c r="K6">
        <v>2</v>
      </c>
    </row>
    <row r="7" spans="1:11">
      <c r="A7">
        <v>6</v>
      </c>
      <c r="B7" t="s">
        <v>20</v>
      </c>
      <c r="C7" t="s">
        <v>15</v>
      </c>
      <c r="D7">
        <v>3</v>
      </c>
      <c r="E7">
        <v>80</v>
      </c>
      <c r="G7">
        <v>70</v>
      </c>
      <c r="H7">
        <v>78</v>
      </c>
      <c r="I7" t="s">
        <v>13</v>
      </c>
      <c r="J7">
        <v>7</v>
      </c>
      <c r="K7">
        <v>4</v>
      </c>
    </row>
    <row r="8" spans="1:11">
      <c r="A8">
        <v>7</v>
      </c>
      <c r="B8" t="s">
        <v>21</v>
      </c>
      <c r="C8" t="s">
        <v>12</v>
      </c>
      <c r="D8">
        <v>1</v>
      </c>
      <c r="E8">
        <v>65</v>
      </c>
      <c r="F8">
        <v>55</v>
      </c>
      <c r="G8">
        <v>50</v>
      </c>
      <c r="H8">
        <v>58</v>
      </c>
      <c r="I8" t="s">
        <v>16</v>
      </c>
      <c r="J8">
        <v>8</v>
      </c>
      <c r="K8">
        <v>6</v>
      </c>
    </row>
    <row r="9" spans="1:11">
      <c r="A9">
        <v>8</v>
      </c>
      <c r="B9" t="s">
        <v>22</v>
      </c>
      <c r="C9" t="s">
        <v>15</v>
      </c>
      <c r="D9">
        <v>5</v>
      </c>
      <c r="E9">
        <v>90</v>
      </c>
      <c r="F9">
        <v>85</v>
      </c>
      <c r="G9">
        <v>87</v>
      </c>
      <c r="H9">
        <v>89</v>
      </c>
      <c r="I9" t="s">
        <v>13</v>
      </c>
      <c r="K9">
        <v>2</v>
      </c>
    </row>
    <row r="10" spans="1:11">
      <c r="A10">
        <v>9</v>
      </c>
      <c r="B10" t="s">
        <v>23</v>
      </c>
      <c r="C10" t="s">
        <v>12</v>
      </c>
      <c r="D10">
        <v>4</v>
      </c>
      <c r="E10">
        <v>85</v>
      </c>
      <c r="F10">
        <v>80</v>
      </c>
      <c r="G10">
        <v>78</v>
      </c>
      <c r="H10">
        <v>82</v>
      </c>
      <c r="I10" t="s">
        <v>13</v>
      </c>
      <c r="J10">
        <v>7</v>
      </c>
      <c r="K10">
        <v>3</v>
      </c>
    </row>
    <row r="11" spans="1:11">
      <c r="A11">
        <v>10</v>
      </c>
      <c r="B11" t="s">
        <v>24</v>
      </c>
      <c r="C11" t="s">
        <v>15</v>
      </c>
      <c r="D11">
        <v>6</v>
      </c>
      <c r="E11">
        <v>96</v>
      </c>
      <c r="F11">
        <v>92</v>
      </c>
      <c r="G11">
        <v>94</v>
      </c>
      <c r="H11">
        <v>95</v>
      </c>
      <c r="I11" t="s">
        <v>16</v>
      </c>
      <c r="J11">
        <v>6</v>
      </c>
      <c r="K11">
        <v>2</v>
      </c>
    </row>
    <row r="12" spans="1:11">
      <c r="A12">
        <v>11</v>
      </c>
      <c r="B12" t="s">
        <v>25</v>
      </c>
      <c r="C12" t="s">
        <v>12</v>
      </c>
      <c r="D12">
        <v>2</v>
      </c>
      <c r="E12">
        <v>75</v>
      </c>
      <c r="F12">
        <v>65</v>
      </c>
      <c r="G12">
        <v>60</v>
      </c>
      <c r="H12">
        <v>68</v>
      </c>
      <c r="I12" t="s">
        <v>13</v>
      </c>
      <c r="J12">
        <v>7</v>
      </c>
      <c r="K12">
        <v>5</v>
      </c>
    </row>
    <row r="13" spans="1:11">
      <c r="A13">
        <v>12</v>
      </c>
      <c r="B13" t="s">
        <v>26</v>
      </c>
      <c r="C13" t="s">
        <v>15</v>
      </c>
      <c r="D13">
        <v>4</v>
      </c>
      <c r="E13">
        <v>88</v>
      </c>
      <c r="F13">
        <v>84</v>
      </c>
      <c r="G13">
        <v>82</v>
      </c>
      <c r="H13">
        <v>86</v>
      </c>
      <c r="I13" t="s">
        <v>13</v>
      </c>
      <c r="J13">
        <v>6</v>
      </c>
      <c r="K13">
        <v>3</v>
      </c>
    </row>
    <row r="14" spans="1:11">
      <c r="A14">
        <v>13</v>
      </c>
      <c r="B14" t="s">
        <v>27</v>
      </c>
      <c r="C14" t="s">
        <v>12</v>
      </c>
      <c r="D14">
        <v>3</v>
      </c>
      <c r="E14">
        <v>82</v>
      </c>
      <c r="F14">
        <v>78</v>
      </c>
      <c r="G14">
        <v>74</v>
      </c>
      <c r="H14">
        <v>79</v>
      </c>
      <c r="I14" t="s">
        <v>16</v>
      </c>
      <c r="J14">
        <v>7</v>
      </c>
      <c r="K14">
        <v>4</v>
      </c>
    </row>
    <row r="15" spans="1:11">
      <c r="A15">
        <v>14</v>
      </c>
      <c r="B15" t="s">
        <v>28</v>
      </c>
      <c r="C15" t="s">
        <v>15</v>
      </c>
      <c r="D15">
        <v>5</v>
      </c>
      <c r="E15">
        <v>91</v>
      </c>
      <c r="F15">
        <v>87</v>
      </c>
      <c r="G15">
        <v>88</v>
      </c>
      <c r="H15">
        <v>90</v>
      </c>
      <c r="I15" t="s">
        <v>13</v>
      </c>
      <c r="J15">
        <v>6</v>
      </c>
      <c r="K15">
        <v>2</v>
      </c>
    </row>
    <row r="16" spans="1:11">
      <c r="A16">
        <v>15</v>
      </c>
      <c r="B16" t="s">
        <v>29</v>
      </c>
      <c r="C16" t="s">
        <v>12</v>
      </c>
      <c r="D16">
        <v>2</v>
      </c>
      <c r="E16">
        <v>68</v>
      </c>
      <c r="F16">
        <v>60</v>
      </c>
      <c r="H16">
        <v>65</v>
      </c>
      <c r="I16" t="s">
        <v>16</v>
      </c>
      <c r="J16">
        <v>8</v>
      </c>
      <c r="K16">
        <v>5</v>
      </c>
    </row>
    <row r="17" spans="1:11">
      <c r="A17">
        <v>16</v>
      </c>
      <c r="B17" t="s">
        <v>30</v>
      </c>
      <c r="C17" t="s">
        <v>15</v>
      </c>
      <c r="D17">
        <v>4</v>
      </c>
      <c r="E17">
        <v>86</v>
      </c>
      <c r="F17">
        <v>80</v>
      </c>
      <c r="G17">
        <v>82</v>
      </c>
      <c r="H17">
        <v>84</v>
      </c>
      <c r="I17" t="s">
        <v>13</v>
      </c>
      <c r="J17">
        <v>7</v>
      </c>
      <c r="K17">
        <v>3</v>
      </c>
    </row>
    <row r="18" spans="1:11">
      <c r="A18">
        <v>17</v>
      </c>
      <c r="B18" t="s">
        <v>31</v>
      </c>
      <c r="C18" t="s">
        <v>12</v>
      </c>
      <c r="D18">
        <v>6</v>
      </c>
      <c r="E18">
        <v>94</v>
      </c>
      <c r="F18">
        <v>91</v>
      </c>
      <c r="G18">
        <v>90</v>
      </c>
      <c r="H18">
        <v>93</v>
      </c>
      <c r="I18" t="s">
        <v>16</v>
      </c>
      <c r="J18">
        <v>6</v>
      </c>
      <c r="K18">
        <v>2</v>
      </c>
    </row>
    <row r="19" spans="1:11">
      <c r="A19">
        <v>18</v>
      </c>
      <c r="B19" t="s">
        <v>32</v>
      </c>
      <c r="C19" t="s">
        <v>15</v>
      </c>
      <c r="D19">
        <v>3</v>
      </c>
      <c r="E19">
        <v>78</v>
      </c>
      <c r="F19">
        <v>72</v>
      </c>
      <c r="G19">
        <v>70</v>
      </c>
      <c r="H19">
        <v>75</v>
      </c>
      <c r="I19" t="s">
        <v>13</v>
      </c>
      <c r="J19">
        <v>7</v>
      </c>
      <c r="K19">
        <v>4</v>
      </c>
    </row>
    <row r="20" spans="1:11">
      <c r="A20">
        <v>19</v>
      </c>
      <c r="B20" t="s">
        <v>33</v>
      </c>
      <c r="C20" t="s">
        <v>12</v>
      </c>
      <c r="D20">
        <v>2</v>
      </c>
      <c r="E20">
        <v>72</v>
      </c>
      <c r="F20">
        <v>65</v>
      </c>
      <c r="G20">
        <v>63</v>
      </c>
      <c r="H20">
        <v>67</v>
      </c>
      <c r="I20" t="s">
        <v>16</v>
      </c>
      <c r="J20">
        <v>8</v>
      </c>
      <c r="K20">
        <v>5</v>
      </c>
    </row>
    <row r="21" spans="1:11">
      <c r="A21">
        <v>20</v>
      </c>
      <c r="B21" t="s">
        <v>34</v>
      </c>
      <c r="C21" t="s">
        <v>15</v>
      </c>
      <c r="D21">
        <v>5</v>
      </c>
      <c r="E21">
        <v>90</v>
      </c>
      <c r="F21">
        <v>86</v>
      </c>
      <c r="G21">
        <v>88</v>
      </c>
      <c r="H21">
        <v>89</v>
      </c>
      <c r="I21" t="s">
        <v>13</v>
      </c>
      <c r="J21">
        <v>6</v>
      </c>
      <c r="K21">
        <v>2</v>
      </c>
    </row>
    <row r="22" spans="1:11">
      <c r="A22">
        <v>21</v>
      </c>
      <c r="B22" t="s">
        <v>35</v>
      </c>
      <c r="C22" t="s">
        <v>12</v>
      </c>
      <c r="D22">
        <v>3</v>
      </c>
      <c r="E22">
        <v>80</v>
      </c>
      <c r="F22">
        <v>75</v>
      </c>
      <c r="G22">
        <v>73</v>
      </c>
      <c r="H22">
        <v>77</v>
      </c>
      <c r="I22" t="s">
        <v>13</v>
      </c>
      <c r="J22">
        <v>7</v>
      </c>
      <c r="K22">
        <v>4</v>
      </c>
    </row>
    <row r="23" spans="1:11">
      <c r="A23">
        <v>22</v>
      </c>
      <c r="B23" t="s">
        <v>36</v>
      </c>
      <c r="C23" t="s">
        <v>15</v>
      </c>
      <c r="D23">
        <v>4</v>
      </c>
      <c r="E23">
        <v>87</v>
      </c>
      <c r="F23">
        <v>82</v>
      </c>
      <c r="G23">
        <v>80</v>
      </c>
      <c r="H23">
        <v>85</v>
      </c>
      <c r="I23" t="s">
        <v>16</v>
      </c>
      <c r="J23">
        <v>6</v>
      </c>
      <c r="K23">
        <v>3</v>
      </c>
    </row>
    <row r="24" spans="1:11">
      <c r="A24">
        <v>23</v>
      </c>
      <c r="B24" t="s">
        <v>37</v>
      </c>
      <c r="C24" t="s">
        <v>12</v>
      </c>
      <c r="D24">
        <v>1</v>
      </c>
      <c r="E24">
        <v>60</v>
      </c>
      <c r="F24">
        <v>50</v>
      </c>
      <c r="G24">
        <v>48</v>
      </c>
      <c r="H24">
        <v>55</v>
      </c>
      <c r="I24" t="s">
        <v>16</v>
      </c>
      <c r="J24">
        <v>8</v>
      </c>
      <c r="K24">
        <v>6</v>
      </c>
    </row>
    <row r="25" spans="1:11">
      <c r="A25">
        <v>24</v>
      </c>
      <c r="B25" t="s">
        <v>38</v>
      </c>
      <c r="C25" t="s">
        <v>15</v>
      </c>
      <c r="D25">
        <v>5</v>
      </c>
      <c r="E25">
        <v>92</v>
      </c>
      <c r="F25">
        <v>88</v>
      </c>
      <c r="G25">
        <v>90</v>
      </c>
      <c r="H25">
        <v>91</v>
      </c>
      <c r="I25" t="s">
        <v>13</v>
      </c>
      <c r="J25">
        <v>6</v>
      </c>
      <c r="K25">
        <v>2</v>
      </c>
    </row>
    <row r="26" spans="1:11">
      <c r="A26">
        <v>25</v>
      </c>
      <c r="B26" t="s">
        <v>39</v>
      </c>
      <c r="C26" t="s">
        <v>12</v>
      </c>
      <c r="D26">
        <v>3</v>
      </c>
      <c r="E26">
        <v>78</v>
      </c>
      <c r="F26">
        <v>72</v>
      </c>
      <c r="G26">
        <v>70</v>
      </c>
      <c r="H26">
        <v>74</v>
      </c>
      <c r="I26" t="s">
        <v>13</v>
      </c>
      <c r="J26">
        <v>7</v>
      </c>
      <c r="K26">
        <v>4</v>
      </c>
    </row>
    <row r="27" spans="1:11">
      <c r="A27">
        <v>26</v>
      </c>
      <c r="B27" t="s">
        <v>40</v>
      </c>
      <c r="C27" t="s">
        <v>15</v>
      </c>
      <c r="D27">
        <v>6</v>
      </c>
      <c r="E27">
        <v>95</v>
      </c>
      <c r="F27">
        <v>92</v>
      </c>
      <c r="G27">
        <v>93</v>
      </c>
      <c r="H27">
        <v>96</v>
      </c>
      <c r="I27" t="s">
        <v>16</v>
      </c>
      <c r="J27">
        <v>6</v>
      </c>
      <c r="K27">
        <v>2</v>
      </c>
    </row>
    <row r="28" spans="1:11">
      <c r="A28">
        <v>27</v>
      </c>
      <c r="B28" t="s">
        <v>41</v>
      </c>
      <c r="C28" t="s">
        <v>12</v>
      </c>
      <c r="D28">
        <v>2</v>
      </c>
      <c r="E28">
        <v>70</v>
      </c>
      <c r="F28">
        <v>62</v>
      </c>
      <c r="G28">
        <v>60</v>
      </c>
      <c r="H28">
        <v>66</v>
      </c>
      <c r="I28" t="s">
        <v>13</v>
      </c>
      <c r="J28">
        <v>8</v>
      </c>
      <c r="K28">
        <v>5</v>
      </c>
    </row>
    <row r="29" spans="1:11">
      <c r="A29">
        <v>28</v>
      </c>
      <c r="B29" t="s">
        <v>42</v>
      </c>
      <c r="C29" t="s">
        <v>15</v>
      </c>
      <c r="D29">
        <v>4</v>
      </c>
      <c r="E29">
        <v>88</v>
      </c>
      <c r="F29">
        <v>84</v>
      </c>
      <c r="G29">
        <v>83</v>
      </c>
      <c r="H29">
        <v>87</v>
      </c>
      <c r="I29" t="s">
        <v>13</v>
      </c>
      <c r="J29">
        <v>7</v>
      </c>
      <c r="K29">
        <v>3</v>
      </c>
    </row>
    <row r="30" spans="1:11">
      <c r="A30">
        <v>29</v>
      </c>
      <c r="B30" t="s">
        <v>43</v>
      </c>
      <c r="C30" t="s">
        <v>12</v>
      </c>
      <c r="D30">
        <v>3</v>
      </c>
      <c r="E30">
        <v>82</v>
      </c>
      <c r="F30">
        <v>76</v>
      </c>
      <c r="G30">
        <v>75</v>
      </c>
      <c r="H30">
        <v>80</v>
      </c>
      <c r="I30" t="s">
        <v>16</v>
      </c>
      <c r="J30">
        <v>7</v>
      </c>
      <c r="K30">
        <v>4</v>
      </c>
    </row>
    <row r="31" spans="1:11">
      <c r="A31">
        <v>30</v>
      </c>
      <c r="B31" t="s">
        <v>44</v>
      </c>
      <c r="C31" t="s">
        <v>15</v>
      </c>
      <c r="D31">
        <v>5</v>
      </c>
      <c r="E31">
        <v>91</v>
      </c>
      <c r="F31">
        <v>87</v>
      </c>
      <c r="G31">
        <v>88</v>
      </c>
      <c r="H31">
        <v>90</v>
      </c>
      <c r="I31" t="s">
        <v>13</v>
      </c>
      <c r="J31">
        <v>6</v>
      </c>
      <c r="K31">
        <v>2</v>
      </c>
    </row>
    <row r="32" spans="1:11">
      <c r="A32">
        <v>31</v>
      </c>
      <c r="B32" t="s">
        <v>45</v>
      </c>
      <c r="C32" t="s">
        <v>12</v>
      </c>
      <c r="D32">
        <v>2</v>
      </c>
      <c r="E32">
        <v>68</v>
      </c>
      <c r="F32">
        <v>60</v>
      </c>
      <c r="G32">
        <v>58</v>
      </c>
      <c r="H32">
        <v>63</v>
      </c>
      <c r="I32" t="s">
        <v>16</v>
      </c>
      <c r="J32">
        <v>8</v>
      </c>
      <c r="K32">
        <v>5</v>
      </c>
    </row>
    <row r="33" spans="1:11">
      <c r="A33">
        <v>32</v>
      </c>
      <c r="B33" t="s">
        <v>46</v>
      </c>
      <c r="C33" t="s">
        <v>15</v>
      </c>
      <c r="D33">
        <v>4</v>
      </c>
      <c r="E33">
        <v>85</v>
      </c>
      <c r="F33">
        <v>80</v>
      </c>
      <c r="G33">
        <v>82</v>
      </c>
      <c r="H33">
        <v>84</v>
      </c>
      <c r="I33" t="s">
        <v>13</v>
      </c>
      <c r="J33">
        <v>7</v>
      </c>
      <c r="K33">
        <v>3</v>
      </c>
    </row>
    <row r="34" spans="1:11">
      <c r="A34">
        <v>33</v>
      </c>
      <c r="B34" t="s">
        <v>47</v>
      </c>
      <c r="C34" t="s">
        <v>12</v>
      </c>
      <c r="D34">
        <v>6</v>
      </c>
      <c r="E34">
        <v>94</v>
      </c>
      <c r="F34">
        <v>91</v>
      </c>
      <c r="G34">
        <v>90</v>
      </c>
      <c r="H34">
        <v>92</v>
      </c>
      <c r="I34" t="s">
        <v>16</v>
      </c>
      <c r="J34">
        <v>6</v>
      </c>
      <c r="K34">
        <v>2</v>
      </c>
    </row>
    <row r="35" spans="1:11">
      <c r="A35">
        <v>34</v>
      </c>
      <c r="B35" t="s">
        <v>48</v>
      </c>
      <c r="C35" t="s">
        <v>15</v>
      </c>
      <c r="D35">
        <v>3</v>
      </c>
      <c r="E35">
        <v>79</v>
      </c>
      <c r="F35">
        <v>74</v>
      </c>
      <c r="G35">
        <v>72</v>
      </c>
      <c r="H35">
        <v>76</v>
      </c>
      <c r="I35" t="s">
        <v>13</v>
      </c>
      <c r="J35">
        <v>7</v>
      </c>
      <c r="K35">
        <v>4</v>
      </c>
    </row>
    <row r="36" spans="1:11">
      <c r="A36">
        <v>35</v>
      </c>
      <c r="B36" t="s">
        <v>49</v>
      </c>
      <c r="C36" t="s">
        <v>12</v>
      </c>
      <c r="D36">
        <v>2</v>
      </c>
      <c r="E36">
        <v>72</v>
      </c>
      <c r="F36">
        <v>65</v>
      </c>
      <c r="G36">
        <v>64</v>
      </c>
      <c r="H36">
        <v>68</v>
      </c>
      <c r="I36" t="s">
        <v>16</v>
      </c>
      <c r="J36">
        <v>8</v>
      </c>
      <c r="K36">
        <v>5</v>
      </c>
    </row>
    <row r="37" spans="1:11">
      <c r="A37">
        <v>36</v>
      </c>
      <c r="B37" t="s">
        <v>50</v>
      </c>
      <c r="C37" t="s">
        <v>15</v>
      </c>
      <c r="D37">
        <v>5</v>
      </c>
      <c r="E37">
        <v>90</v>
      </c>
      <c r="F37">
        <v>86</v>
      </c>
      <c r="G37">
        <v>88</v>
      </c>
      <c r="H37">
        <v>89</v>
      </c>
      <c r="I37" t="s">
        <v>13</v>
      </c>
      <c r="J37">
        <v>6</v>
      </c>
      <c r="K37">
        <v>2</v>
      </c>
    </row>
    <row r="38" spans="1:11">
      <c r="A38">
        <v>37</v>
      </c>
      <c r="B38" t="s">
        <v>51</v>
      </c>
      <c r="C38" t="s">
        <v>12</v>
      </c>
      <c r="D38">
        <v>3</v>
      </c>
      <c r="E38">
        <v>80</v>
      </c>
      <c r="F38">
        <v>75</v>
      </c>
      <c r="G38">
        <v>73</v>
      </c>
      <c r="H38">
        <v>78</v>
      </c>
      <c r="I38" t="s">
        <v>13</v>
      </c>
      <c r="J38">
        <v>7</v>
      </c>
      <c r="K38">
        <v>4</v>
      </c>
    </row>
    <row r="39" spans="1:11">
      <c r="A39">
        <v>38</v>
      </c>
      <c r="B39" t="s">
        <v>52</v>
      </c>
      <c r="C39" t="s">
        <v>15</v>
      </c>
      <c r="D39">
        <v>4</v>
      </c>
      <c r="E39">
        <v>87</v>
      </c>
      <c r="F39">
        <v>83</v>
      </c>
      <c r="G39">
        <v>81</v>
      </c>
      <c r="H39">
        <v>85</v>
      </c>
      <c r="I39" t="s">
        <v>16</v>
      </c>
      <c r="J39">
        <v>6</v>
      </c>
      <c r="K39">
        <v>3</v>
      </c>
    </row>
    <row r="40" spans="1:11">
      <c r="A40">
        <v>39</v>
      </c>
      <c r="B40" t="s">
        <v>53</v>
      </c>
      <c r="C40" t="s">
        <v>12</v>
      </c>
      <c r="D40">
        <v>1</v>
      </c>
      <c r="E40">
        <v>62</v>
      </c>
      <c r="F40">
        <v>52</v>
      </c>
      <c r="G40">
        <v>50</v>
      </c>
      <c r="H40">
        <v>57</v>
      </c>
      <c r="I40" t="s">
        <v>16</v>
      </c>
      <c r="J40">
        <v>8</v>
      </c>
      <c r="K40">
        <v>6</v>
      </c>
    </row>
    <row r="41" spans="1:11">
      <c r="A41">
        <v>40</v>
      </c>
      <c r="B41" t="s">
        <v>54</v>
      </c>
      <c r="C41" t="s">
        <v>15</v>
      </c>
      <c r="D41">
        <v>5</v>
      </c>
      <c r="E41">
        <v>92</v>
      </c>
      <c r="F41">
        <v>89</v>
      </c>
      <c r="G41">
        <v>90</v>
      </c>
      <c r="H41">
        <v>93</v>
      </c>
      <c r="I41" t="s">
        <v>13</v>
      </c>
      <c r="J41">
        <v>6</v>
      </c>
      <c r="K41">
        <v>2</v>
      </c>
    </row>
    <row r="42" spans="1:11">
      <c r="A42">
        <v>41</v>
      </c>
      <c r="B42" t="s">
        <v>55</v>
      </c>
      <c r="C42" t="s">
        <v>12</v>
      </c>
      <c r="D42">
        <v>3</v>
      </c>
      <c r="E42">
        <v>78</v>
      </c>
      <c r="F42">
        <v>72</v>
      </c>
      <c r="G42">
        <v>70</v>
      </c>
      <c r="H42">
        <v>75</v>
      </c>
      <c r="I42" t="s">
        <v>13</v>
      </c>
      <c r="J42">
        <v>7</v>
      </c>
      <c r="K42">
        <v>4</v>
      </c>
    </row>
    <row r="43" spans="1:11">
      <c r="A43">
        <v>42</v>
      </c>
      <c r="B43" t="s">
        <v>56</v>
      </c>
      <c r="C43" t="s">
        <v>15</v>
      </c>
      <c r="D43">
        <v>6</v>
      </c>
      <c r="E43">
        <v>96</v>
      </c>
      <c r="F43">
        <v>93</v>
      </c>
      <c r="G43">
        <v>94</v>
      </c>
      <c r="H43">
        <v>97</v>
      </c>
      <c r="I43" t="s">
        <v>16</v>
      </c>
      <c r="J43">
        <v>6</v>
      </c>
      <c r="K43">
        <v>2</v>
      </c>
    </row>
    <row r="44" spans="1:11">
      <c r="A44">
        <v>43</v>
      </c>
      <c r="B44" t="s">
        <v>57</v>
      </c>
      <c r="C44" t="s">
        <v>12</v>
      </c>
      <c r="D44">
        <v>2</v>
      </c>
      <c r="E44">
        <v>70</v>
      </c>
      <c r="F44">
        <v>63</v>
      </c>
      <c r="G44">
        <v>60</v>
      </c>
      <c r="H44">
        <v>66</v>
      </c>
      <c r="I44" t="s">
        <v>13</v>
      </c>
      <c r="J44">
        <v>8</v>
      </c>
      <c r="K44">
        <v>5</v>
      </c>
    </row>
    <row r="45" spans="1:11">
      <c r="A45">
        <v>44</v>
      </c>
      <c r="B45" t="s">
        <v>58</v>
      </c>
      <c r="C45" t="s">
        <v>15</v>
      </c>
      <c r="D45">
        <v>4</v>
      </c>
      <c r="E45">
        <v>88</v>
      </c>
      <c r="F45">
        <v>84</v>
      </c>
      <c r="G45">
        <v>83</v>
      </c>
      <c r="H45">
        <v>86</v>
      </c>
      <c r="I45" t="s">
        <v>13</v>
      </c>
      <c r="J45">
        <v>7</v>
      </c>
      <c r="K45">
        <v>3</v>
      </c>
    </row>
    <row r="46" spans="1:11">
      <c r="A46">
        <v>45</v>
      </c>
      <c r="B46" t="s">
        <v>59</v>
      </c>
      <c r="C46" t="s">
        <v>12</v>
      </c>
      <c r="D46">
        <v>3</v>
      </c>
      <c r="E46">
        <v>82</v>
      </c>
      <c r="F46">
        <v>76</v>
      </c>
      <c r="G46">
        <v>75</v>
      </c>
      <c r="H46">
        <v>79</v>
      </c>
      <c r="I46" t="s">
        <v>16</v>
      </c>
      <c r="J46">
        <v>7</v>
      </c>
      <c r="K46">
        <v>4</v>
      </c>
    </row>
    <row r="47" spans="1:11">
      <c r="A47">
        <v>46</v>
      </c>
      <c r="B47" t="s">
        <v>60</v>
      </c>
      <c r="C47" t="s">
        <v>15</v>
      </c>
      <c r="D47">
        <v>5</v>
      </c>
      <c r="E47">
        <v>91</v>
      </c>
      <c r="F47">
        <v>87</v>
      </c>
      <c r="G47">
        <v>89</v>
      </c>
      <c r="H47">
        <v>90</v>
      </c>
      <c r="I47" t="s">
        <v>13</v>
      </c>
      <c r="J47">
        <v>6</v>
      </c>
      <c r="K47">
        <v>2</v>
      </c>
    </row>
    <row r="48" spans="1:11">
      <c r="A48">
        <v>47</v>
      </c>
      <c r="B48" t="s">
        <v>61</v>
      </c>
      <c r="C48" t="s">
        <v>12</v>
      </c>
      <c r="D48">
        <v>2</v>
      </c>
      <c r="E48">
        <v>68</v>
      </c>
      <c r="F48">
        <v>60</v>
      </c>
      <c r="G48">
        <v>58</v>
      </c>
      <c r="H48">
        <v>64</v>
      </c>
      <c r="I48" t="s">
        <v>16</v>
      </c>
      <c r="J48">
        <v>8</v>
      </c>
      <c r="K48">
        <v>5</v>
      </c>
    </row>
    <row r="49" spans="1:11">
      <c r="A49">
        <v>48</v>
      </c>
      <c r="B49" t="s">
        <v>62</v>
      </c>
      <c r="C49" t="s">
        <v>15</v>
      </c>
      <c r="D49">
        <v>4</v>
      </c>
      <c r="E49">
        <v>85</v>
      </c>
      <c r="F49">
        <v>81</v>
      </c>
      <c r="G49">
        <v>82</v>
      </c>
      <c r="H49">
        <v>84</v>
      </c>
      <c r="I49" t="s">
        <v>13</v>
      </c>
      <c r="J49">
        <v>7</v>
      </c>
      <c r="K49">
        <v>3</v>
      </c>
    </row>
    <row r="50" spans="1:11">
      <c r="A50">
        <v>49</v>
      </c>
      <c r="B50" t="s">
        <v>63</v>
      </c>
      <c r="C50" t="s">
        <v>12</v>
      </c>
      <c r="D50">
        <v>6</v>
      </c>
      <c r="E50">
        <v>94</v>
      </c>
      <c r="F50">
        <v>92</v>
      </c>
      <c r="G50">
        <v>91</v>
      </c>
      <c r="H50">
        <v>95</v>
      </c>
      <c r="I50" t="s">
        <v>16</v>
      </c>
      <c r="J50">
        <v>6</v>
      </c>
      <c r="K50">
        <v>2</v>
      </c>
    </row>
    <row r="51" spans="1:11">
      <c r="A51">
        <v>50</v>
      </c>
      <c r="B51" t="s">
        <v>64</v>
      </c>
      <c r="C51" t="s">
        <v>15</v>
      </c>
      <c r="D51">
        <v>3</v>
      </c>
      <c r="E51">
        <v>79</v>
      </c>
      <c r="F51">
        <v>74</v>
      </c>
      <c r="G51">
        <v>72</v>
      </c>
      <c r="H51">
        <v>77</v>
      </c>
      <c r="I51" t="s">
        <v>13</v>
      </c>
      <c r="J51">
        <v>7</v>
      </c>
      <c r="K51">
        <v>4</v>
      </c>
    </row>
    <row r="52" spans="1:11">
      <c r="A52">
        <v>10</v>
      </c>
      <c r="B52" t="s">
        <v>24</v>
      </c>
      <c r="C52" t="s">
        <v>15</v>
      </c>
      <c r="D52">
        <v>6</v>
      </c>
      <c r="E52">
        <v>96</v>
      </c>
      <c r="F52">
        <v>92</v>
      </c>
      <c r="G52">
        <v>94</v>
      </c>
      <c r="H52">
        <v>95</v>
      </c>
      <c r="I52" t="s">
        <v>16</v>
      </c>
      <c r="J52">
        <v>6</v>
      </c>
      <c r="K52">
        <v>2</v>
      </c>
    </row>
    <row r="53" spans="1:11">
      <c r="A53">
        <v>25</v>
      </c>
      <c r="B53" t="s">
        <v>39</v>
      </c>
      <c r="C53" t="s">
        <v>12</v>
      </c>
      <c r="D53">
        <v>3</v>
      </c>
      <c r="E53">
        <v>78</v>
      </c>
      <c r="F53">
        <v>72</v>
      </c>
      <c r="G53">
        <v>70</v>
      </c>
      <c r="H53">
        <v>74</v>
      </c>
      <c r="I53" t="s">
        <v>13</v>
      </c>
      <c r="J53">
        <v>7</v>
      </c>
      <c r="K53">
        <v>4</v>
      </c>
    </row>
    <row r="54" spans="1:11">
      <c r="A54">
        <v>32</v>
      </c>
      <c r="B54" t="s">
        <v>46</v>
      </c>
      <c r="C54" t="s">
        <v>15</v>
      </c>
      <c r="D54">
        <v>4</v>
      </c>
      <c r="E54">
        <v>85</v>
      </c>
      <c r="F54">
        <v>80</v>
      </c>
      <c r="G54">
        <v>82</v>
      </c>
      <c r="H54">
        <v>84</v>
      </c>
      <c r="I54" t="s">
        <v>13</v>
      </c>
      <c r="J54">
        <v>7</v>
      </c>
      <c r="K54">
        <v>3</v>
      </c>
    </row>
    <row r="55" spans="1:11">
      <c r="A55">
        <v>51</v>
      </c>
      <c r="B55" t="s">
        <v>65</v>
      </c>
      <c r="C55" t="s">
        <v>66</v>
      </c>
      <c r="D55">
        <v>3</v>
      </c>
      <c r="E55">
        <v>85</v>
      </c>
      <c r="F55">
        <v>78</v>
      </c>
      <c r="G55">
        <v>72</v>
      </c>
      <c r="H55">
        <v>80</v>
      </c>
      <c r="I55" t="s">
        <v>67</v>
      </c>
      <c r="J55">
        <v>7</v>
      </c>
      <c r="K55">
        <v>3</v>
      </c>
    </row>
    <row r="56" spans="1:11">
      <c r="A56">
        <v>52</v>
      </c>
      <c r="B56" t="s">
        <v>68</v>
      </c>
      <c r="C56" t="s">
        <v>69</v>
      </c>
      <c r="D56">
        <v>4</v>
      </c>
      <c r="E56">
        <v>88</v>
      </c>
      <c r="F56">
        <v>82</v>
      </c>
      <c r="G56">
        <v>79</v>
      </c>
      <c r="H56">
        <v>85</v>
      </c>
      <c r="I56" t="s">
        <v>70</v>
      </c>
      <c r="J56">
        <v>7</v>
      </c>
      <c r="K56">
        <v>3</v>
      </c>
    </row>
    <row r="57" spans="1:11">
      <c r="A57">
        <v>53</v>
      </c>
      <c r="C57" t="s">
        <v>15</v>
      </c>
      <c r="D57">
        <v>5</v>
      </c>
      <c r="E57">
        <v>90</v>
      </c>
      <c r="F57">
        <v>85</v>
      </c>
      <c r="G57">
        <v>87</v>
      </c>
      <c r="H57">
        <v>89</v>
      </c>
      <c r="I57" t="s">
        <v>13</v>
      </c>
      <c r="J57">
        <v>6</v>
      </c>
      <c r="K57">
        <v>2</v>
      </c>
    </row>
    <row r="58" spans="1:11">
      <c r="A58">
        <v>54</v>
      </c>
      <c r="B58" t="s">
        <v>71</v>
      </c>
      <c r="C58" t="s">
        <v>12</v>
      </c>
      <c r="D58">
        <v>4</v>
      </c>
      <c r="E58">
        <v>88</v>
      </c>
      <c r="F58">
        <v>82</v>
      </c>
      <c r="G58">
        <v>80</v>
      </c>
      <c r="H58">
        <v>85</v>
      </c>
      <c r="I58" t="s">
        <v>13</v>
      </c>
      <c r="J58">
        <v>7</v>
      </c>
      <c r="K58">
        <v>3</v>
      </c>
    </row>
    <row r="59" spans="1:11">
      <c r="A59">
        <v>55</v>
      </c>
      <c r="B59" t="s">
        <v>72</v>
      </c>
      <c r="C59" t="s">
        <v>12</v>
      </c>
      <c r="D59">
        <v>2</v>
      </c>
      <c r="E59">
        <v>75</v>
      </c>
      <c r="F59">
        <v>65</v>
      </c>
      <c r="G59">
        <v>60</v>
      </c>
      <c r="H59">
        <v>68</v>
      </c>
      <c r="I59" t="s">
        <v>16</v>
      </c>
      <c r="J59">
        <v>8</v>
      </c>
      <c r="K59">
        <v>5</v>
      </c>
    </row>
    <row r="60" spans="1:11">
      <c r="A60">
        <v>56</v>
      </c>
      <c r="B60" t="s">
        <v>73</v>
      </c>
      <c r="C60" t="s">
        <v>12</v>
      </c>
      <c r="D60">
        <v>3</v>
      </c>
      <c r="E60">
        <v>80</v>
      </c>
      <c r="F60">
        <v>75</v>
      </c>
      <c r="G60">
        <v>72</v>
      </c>
      <c r="H60">
        <v>78</v>
      </c>
      <c r="I60" t="s">
        <v>13</v>
      </c>
      <c r="J60">
        <v>7</v>
      </c>
      <c r="K60">
        <v>4</v>
      </c>
    </row>
    <row r="61" spans="1:11">
      <c r="A61">
        <v>57</v>
      </c>
      <c r="B61" t="s">
        <v>48</v>
      </c>
      <c r="C61" t="s">
        <v>15</v>
      </c>
      <c r="D61">
        <v>5</v>
      </c>
      <c r="E61">
        <v>90</v>
      </c>
      <c r="F61">
        <v>86</v>
      </c>
      <c r="G61">
        <v>88</v>
      </c>
      <c r="H61">
        <v>91</v>
      </c>
      <c r="I61" t="s">
        <v>13</v>
      </c>
      <c r="J61">
        <v>6</v>
      </c>
      <c r="K61">
        <v>2</v>
      </c>
    </row>
    <row r="62" spans="1:11">
      <c r="A62">
        <v>58</v>
      </c>
      <c r="B62" t="s">
        <v>74</v>
      </c>
      <c r="C62" t="s">
        <v>15</v>
      </c>
      <c r="D62">
        <v>4</v>
      </c>
      <c r="E62">
        <v>85</v>
      </c>
      <c r="F62">
        <v>80</v>
      </c>
      <c r="G62">
        <v>82</v>
      </c>
      <c r="H62">
        <v>84</v>
      </c>
      <c r="I62" t="s">
        <v>13</v>
      </c>
      <c r="J62">
        <v>7</v>
      </c>
      <c r="K62">
        <v>3</v>
      </c>
    </row>
    <row r="63" spans="1:11">
      <c r="A63">
        <v>59</v>
      </c>
      <c r="B63" t="s">
        <v>75</v>
      </c>
      <c r="C63" t="s">
        <v>12</v>
      </c>
      <c r="D63">
        <v>1</v>
      </c>
      <c r="E63">
        <v>60</v>
      </c>
      <c r="F63">
        <v>50</v>
      </c>
      <c r="G63">
        <v>48</v>
      </c>
      <c r="H63">
        <v>55</v>
      </c>
      <c r="I63" t="s">
        <v>16</v>
      </c>
      <c r="J63">
        <v>8</v>
      </c>
      <c r="K63">
        <v>6</v>
      </c>
    </row>
    <row r="64" spans="1:11">
      <c r="A64">
        <v>60</v>
      </c>
      <c r="B64" t="s">
        <v>62</v>
      </c>
      <c r="C64" t="s">
        <v>15</v>
      </c>
      <c r="D64">
        <v>6</v>
      </c>
      <c r="E64">
        <v>95</v>
      </c>
      <c r="F64">
        <v>92</v>
      </c>
      <c r="G64">
        <v>93</v>
      </c>
      <c r="H64">
        <v>96</v>
      </c>
      <c r="I64" t="s">
        <v>16</v>
      </c>
      <c r="J64">
        <v>6</v>
      </c>
      <c r="K64">
        <v>2</v>
      </c>
    </row>
    <row r="65" spans="1:11">
      <c r="A65">
        <v>61</v>
      </c>
      <c r="B65" t="s">
        <v>76</v>
      </c>
      <c r="C65" t="s">
        <v>15</v>
      </c>
      <c r="D65">
        <v>3</v>
      </c>
      <c r="E65">
        <v>78</v>
      </c>
      <c r="F65">
        <v>72</v>
      </c>
      <c r="G65">
        <v>70</v>
      </c>
      <c r="H65">
        <v>75</v>
      </c>
      <c r="I65" t="s">
        <v>13</v>
      </c>
      <c r="J65">
        <v>7</v>
      </c>
      <c r="K65">
        <v>4</v>
      </c>
    </row>
    <row r="66" spans="1:11">
      <c r="A66">
        <v>62</v>
      </c>
      <c r="B66" t="s">
        <v>77</v>
      </c>
      <c r="C66" t="s">
        <v>15</v>
      </c>
      <c r="E66">
        <v>82</v>
      </c>
      <c r="F66">
        <v>78</v>
      </c>
      <c r="G66">
        <v>76</v>
      </c>
      <c r="H66">
        <v>80</v>
      </c>
      <c r="I66" t="s">
        <v>13</v>
      </c>
      <c r="J66">
        <v>7</v>
      </c>
      <c r="K66">
        <v>3</v>
      </c>
    </row>
    <row r="67" spans="1:11">
      <c r="A67">
        <v>63</v>
      </c>
      <c r="B67" t="s">
        <v>78</v>
      </c>
      <c r="C67" t="s">
        <v>12</v>
      </c>
      <c r="D67">
        <v>2</v>
      </c>
      <c r="E67">
        <v>70</v>
      </c>
      <c r="F67">
        <v>65</v>
      </c>
      <c r="G67">
        <v>60</v>
      </c>
      <c r="H67">
        <v>66</v>
      </c>
      <c r="I67" t="s">
        <v>16</v>
      </c>
      <c r="J67">
        <v>8</v>
      </c>
      <c r="K67">
        <v>5</v>
      </c>
    </row>
    <row r="68" spans="1:11">
      <c r="A68">
        <v>64</v>
      </c>
      <c r="B68" t="s">
        <v>79</v>
      </c>
      <c r="C68" t="s">
        <v>12</v>
      </c>
      <c r="D68">
        <v>3</v>
      </c>
      <c r="E68">
        <v>79</v>
      </c>
      <c r="F68">
        <v>74</v>
      </c>
      <c r="G68">
        <v>72</v>
      </c>
      <c r="H68">
        <v>77</v>
      </c>
      <c r="I68" t="s">
        <v>13</v>
      </c>
      <c r="J68">
        <v>7</v>
      </c>
    </row>
    <row r="69" spans="1:11">
      <c r="A69">
        <v>65</v>
      </c>
      <c r="B69" t="s">
        <v>80</v>
      </c>
      <c r="C69" t="s">
        <v>15</v>
      </c>
      <c r="D69">
        <v>5</v>
      </c>
      <c r="E69">
        <v>91</v>
      </c>
      <c r="F69">
        <v>87</v>
      </c>
      <c r="G69">
        <v>88</v>
      </c>
      <c r="H69">
        <v>90</v>
      </c>
      <c r="I69" t="s">
        <v>13</v>
      </c>
      <c r="J69">
        <v>6</v>
      </c>
      <c r="K69">
        <v>2</v>
      </c>
    </row>
    <row r="70" spans="1:11">
      <c r="A70">
        <v>66</v>
      </c>
      <c r="B70" t="s">
        <v>81</v>
      </c>
      <c r="C70" t="s">
        <v>12</v>
      </c>
      <c r="D70">
        <v>4</v>
      </c>
      <c r="E70">
        <v>86</v>
      </c>
      <c r="F70">
        <v>82</v>
      </c>
      <c r="G70">
        <v>80</v>
      </c>
      <c r="H70">
        <v>84</v>
      </c>
      <c r="I70" t="s">
        <v>16</v>
      </c>
      <c r="J70">
        <v>7</v>
      </c>
      <c r="K70">
        <v>3</v>
      </c>
    </row>
    <row r="71" spans="1:11">
      <c r="A71">
        <v>67</v>
      </c>
      <c r="B71" t="s">
        <v>58</v>
      </c>
      <c r="C71" t="s">
        <v>15</v>
      </c>
      <c r="D71">
        <v>3</v>
      </c>
      <c r="E71">
        <v>78</v>
      </c>
      <c r="F71">
        <v>72</v>
      </c>
      <c r="H71">
        <v>75</v>
      </c>
      <c r="I71" t="s">
        <v>13</v>
      </c>
      <c r="J71">
        <v>7</v>
      </c>
      <c r="K71">
        <v>4</v>
      </c>
    </row>
    <row r="72" spans="1:11">
      <c r="A72">
        <v>68</v>
      </c>
      <c r="B72" t="s">
        <v>82</v>
      </c>
      <c r="C72" t="s">
        <v>12</v>
      </c>
      <c r="D72">
        <v>6</v>
      </c>
      <c r="E72">
        <v>94</v>
      </c>
      <c r="F72">
        <v>91</v>
      </c>
      <c r="G72">
        <v>90</v>
      </c>
      <c r="H72">
        <v>93</v>
      </c>
      <c r="I72" t="s">
        <v>16</v>
      </c>
      <c r="J72">
        <v>6</v>
      </c>
      <c r="K72">
        <v>2</v>
      </c>
    </row>
    <row r="73" spans="1:11">
      <c r="A73">
        <v>69</v>
      </c>
      <c r="B73" t="s">
        <v>83</v>
      </c>
      <c r="C73" t="s">
        <v>15</v>
      </c>
      <c r="D73">
        <v>2</v>
      </c>
      <c r="E73">
        <v>72</v>
      </c>
      <c r="F73">
        <v>65</v>
      </c>
      <c r="G73">
        <v>63</v>
      </c>
      <c r="H73">
        <v>68</v>
      </c>
      <c r="I73" t="s">
        <v>13</v>
      </c>
      <c r="J73">
        <v>8</v>
      </c>
      <c r="K73">
        <v>5</v>
      </c>
    </row>
    <row r="74" spans="1:11">
      <c r="A74">
        <v>70</v>
      </c>
      <c r="B74" t="s">
        <v>84</v>
      </c>
      <c r="C74" t="s">
        <v>15</v>
      </c>
      <c r="D74">
        <v>5</v>
      </c>
      <c r="E74">
        <v>90</v>
      </c>
      <c r="F74">
        <v>85</v>
      </c>
      <c r="G74">
        <v>87</v>
      </c>
      <c r="H74">
        <v>89</v>
      </c>
      <c r="I74" t="s">
        <v>13</v>
      </c>
      <c r="J74">
        <v>6</v>
      </c>
      <c r="K74">
        <v>2</v>
      </c>
    </row>
    <row r="75" spans="1:11">
      <c r="A75">
        <v>71</v>
      </c>
      <c r="B75" t="s">
        <v>85</v>
      </c>
      <c r="C75" t="s">
        <v>12</v>
      </c>
      <c r="D75">
        <v>3</v>
      </c>
      <c r="E75">
        <v>80</v>
      </c>
      <c r="F75">
        <v>75</v>
      </c>
      <c r="G75">
        <v>73</v>
      </c>
      <c r="H75">
        <v>78</v>
      </c>
      <c r="I75" t="s">
        <v>16</v>
      </c>
      <c r="J75">
        <v>7</v>
      </c>
      <c r="K75">
        <v>4</v>
      </c>
    </row>
    <row r="76" spans="1:11">
      <c r="A76">
        <v>72</v>
      </c>
      <c r="B76" t="s">
        <v>86</v>
      </c>
      <c r="C76" t="s">
        <v>15</v>
      </c>
      <c r="D76">
        <v>4</v>
      </c>
      <c r="E76">
        <v>88</v>
      </c>
      <c r="F76">
        <v>84</v>
      </c>
      <c r="G76">
        <v>82</v>
      </c>
      <c r="H76">
        <v>86</v>
      </c>
      <c r="I76" t="s">
        <v>13</v>
      </c>
      <c r="J76">
        <v>7</v>
      </c>
      <c r="K76">
        <v>3</v>
      </c>
    </row>
    <row r="77" spans="1:11">
      <c r="A77">
        <v>73</v>
      </c>
      <c r="B77" t="s">
        <v>87</v>
      </c>
      <c r="C77" t="s">
        <v>12</v>
      </c>
      <c r="D77">
        <v>2</v>
      </c>
      <c r="E77">
        <v>68</v>
      </c>
      <c r="F77">
        <v>60</v>
      </c>
      <c r="G77">
        <v>58</v>
      </c>
      <c r="H77">
        <v>64</v>
      </c>
      <c r="I77" t="s">
        <v>16</v>
      </c>
      <c r="J77">
        <v>8</v>
      </c>
      <c r="K77">
        <v>5</v>
      </c>
    </row>
    <row r="78" spans="1:11">
      <c r="A78">
        <v>74</v>
      </c>
      <c r="B78" t="s">
        <v>88</v>
      </c>
      <c r="C78" t="s">
        <v>15</v>
      </c>
      <c r="D78">
        <v>5</v>
      </c>
      <c r="E78">
        <v>92</v>
      </c>
      <c r="F78">
        <v>89</v>
      </c>
      <c r="G78">
        <v>90</v>
      </c>
      <c r="H78">
        <v>93</v>
      </c>
      <c r="I78" t="s">
        <v>13</v>
      </c>
      <c r="J78">
        <v>6</v>
      </c>
      <c r="K78">
        <v>2</v>
      </c>
    </row>
    <row r="79" spans="1:11">
      <c r="A79">
        <v>75</v>
      </c>
      <c r="B79" t="s">
        <v>89</v>
      </c>
      <c r="C79" t="s">
        <v>12</v>
      </c>
      <c r="D79">
        <v>1</v>
      </c>
      <c r="E79">
        <v>62</v>
      </c>
      <c r="F79">
        <v>52</v>
      </c>
      <c r="G79">
        <v>50</v>
      </c>
      <c r="H79">
        <v>57</v>
      </c>
      <c r="I79" t="s">
        <v>16</v>
      </c>
      <c r="J79">
        <v>8</v>
      </c>
      <c r="K79">
        <v>6</v>
      </c>
    </row>
    <row r="80" spans="1:11">
      <c r="A80">
        <v>76</v>
      </c>
      <c r="B80" t="s">
        <v>90</v>
      </c>
      <c r="C80" t="s">
        <v>15</v>
      </c>
      <c r="D80">
        <v>6</v>
      </c>
      <c r="E80">
        <v>96</v>
      </c>
      <c r="F80">
        <v>93</v>
      </c>
      <c r="G80">
        <v>94</v>
      </c>
      <c r="H80">
        <v>97</v>
      </c>
      <c r="I80" t="s">
        <v>16</v>
      </c>
      <c r="J80">
        <v>6</v>
      </c>
      <c r="K80">
        <v>2</v>
      </c>
    </row>
    <row r="81" spans="1:11">
      <c r="A81">
        <v>77</v>
      </c>
      <c r="B81" t="s">
        <v>91</v>
      </c>
      <c r="C81" t="s">
        <v>15</v>
      </c>
      <c r="D81">
        <v>3</v>
      </c>
      <c r="E81">
        <v>79</v>
      </c>
      <c r="F81">
        <v>74</v>
      </c>
      <c r="G81">
        <v>72</v>
      </c>
      <c r="H81">
        <v>76</v>
      </c>
      <c r="I81" t="s">
        <v>13</v>
      </c>
      <c r="J81">
        <v>7</v>
      </c>
      <c r="K81">
        <v>4</v>
      </c>
    </row>
    <row r="82" spans="1:11">
      <c r="A82">
        <v>78</v>
      </c>
      <c r="B82" t="s">
        <v>92</v>
      </c>
      <c r="C82" t="s">
        <v>12</v>
      </c>
      <c r="D82">
        <v>2</v>
      </c>
      <c r="E82">
        <v>70</v>
      </c>
      <c r="F82">
        <v>63</v>
      </c>
      <c r="G82">
        <v>60</v>
      </c>
      <c r="H82">
        <v>66</v>
      </c>
      <c r="I82" t="s">
        <v>13</v>
      </c>
      <c r="J82">
        <v>8</v>
      </c>
      <c r="K82">
        <v>5</v>
      </c>
    </row>
    <row r="83" spans="1:11">
      <c r="A83">
        <v>79</v>
      </c>
      <c r="B83" t="s">
        <v>93</v>
      </c>
      <c r="C83" t="s">
        <v>15</v>
      </c>
      <c r="D83">
        <v>4</v>
      </c>
      <c r="E83">
        <v>87</v>
      </c>
      <c r="F83">
        <v>83</v>
      </c>
      <c r="G83">
        <v>81</v>
      </c>
      <c r="H83">
        <v>85</v>
      </c>
      <c r="I83" t="s">
        <v>16</v>
      </c>
      <c r="J83">
        <v>6</v>
      </c>
      <c r="K83">
        <v>3</v>
      </c>
    </row>
    <row r="84" spans="1:11">
      <c r="A84">
        <v>80</v>
      </c>
      <c r="B84" t="s">
        <v>94</v>
      </c>
      <c r="C84" t="s">
        <v>12</v>
      </c>
      <c r="D84">
        <v>3</v>
      </c>
      <c r="E84">
        <v>82</v>
      </c>
      <c r="F84">
        <v>76</v>
      </c>
      <c r="G84">
        <v>75</v>
      </c>
      <c r="H84">
        <v>79</v>
      </c>
      <c r="I84" t="s">
        <v>16</v>
      </c>
      <c r="J84">
        <v>7</v>
      </c>
      <c r="K84">
        <v>4</v>
      </c>
    </row>
    <row r="85" spans="1:11">
      <c r="A85">
        <v>81</v>
      </c>
      <c r="B85" t="s">
        <v>95</v>
      </c>
      <c r="C85" t="s">
        <v>15</v>
      </c>
      <c r="D85">
        <v>5</v>
      </c>
      <c r="E85">
        <v>91</v>
      </c>
      <c r="F85">
        <v>87</v>
      </c>
      <c r="G85">
        <v>89</v>
      </c>
      <c r="H85">
        <v>90</v>
      </c>
      <c r="I85" t="s">
        <v>13</v>
      </c>
      <c r="J85">
        <v>6</v>
      </c>
      <c r="K85">
        <v>2</v>
      </c>
    </row>
    <row r="86" spans="1:11">
      <c r="A86">
        <v>82</v>
      </c>
      <c r="B86" t="s">
        <v>96</v>
      </c>
      <c r="C86" t="s">
        <v>12</v>
      </c>
      <c r="D86">
        <v>2</v>
      </c>
      <c r="E86">
        <v>68</v>
      </c>
      <c r="F86">
        <v>60</v>
      </c>
      <c r="G86">
        <v>58</v>
      </c>
      <c r="H86">
        <v>63</v>
      </c>
      <c r="I86" t="s">
        <v>16</v>
      </c>
      <c r="J86">
        <v>8</v>
      </c>
      <c r="K86">
        <v>5</v>
      </c>
    </row>
    <row r="87" spans="1:11">
      <c r="A87">
        <v>83</v>
      </c>
      <c r="B87" t="s">
        <v>97</v>
      </c>
      <c r="C87" t="s">
        <v>12</v>
      </c>
      <c r="D87">
        <v>6</v>
      </c>
      <c r="E87">
        <v>94</v>
      </c>
      <c r="F87">
        <v>92</v>
      </c>
      <c r="G87">
        <v>91</v>
      </c>
      <c r="H87">
        <v>95</v>
      </c>
      <c r="I87" t="s">
        <v>16</v>
      </c>
      <c r="J87">
        <v>6</v>
      </c>
      <c r="K87">
        <v>2</v>
      </c>
    </row>
    <row r="88" spans="1:11">
      <c r="A88">
        <v>84</v>
      </c>
      <c r="B88" t="s">
        <v>98</v>
      </c>
      <c r="C88" t="s">
        <v>15</v>
      </c>
      <c r="D88">
        <v>3</v>
      </c>
      <c r="E88">
        <v>78</v>
      </c>
      <c r="F88">
        <v>72</v>
      </c>
      <c r="G88">
        <v>70</v>
      </c>
      <c r="H88">
        <v>75</v>
      </c>
      <c r="I88" t="s">
        <v>13</v>
      </c>
      <c r="J88">
        <v>7</v>
      </c>
      <c r="K88">
        <v>4</v>
      </c>
    </row>
    <row r="89" spans="1:11">
      <c r="A89">
        <v>85</v>
      </c>
      <c r="B89" t="s">
        <v>99</v>
      </c>
      <c r="C89" t="s">
        <v>12</v>
      </c>
      <c r="D89">
        <v>4</v>
      </c>
      <c r="E89">
        <v>85</v>
      </c>
      <c r="F89">
        <v>80</v>
      </c>
      <c r="G89">
        <v>82</v>
      </c>
      <c r="H89">
        <v>84</v>
      </c>
      <c r="I89" t="s">
        <v>13</v>
      </c>
      <c r="J89">
        <v>7</v>
      </c>
      <c r="K89">
        <v>3</v>
      </c>
    </row>
    <row r="90" spans="1:11">
      <c r="A90">
        <v>86</v>
      </c>
      <c r="B90" t="s">
        <v>100</v>
      </c>
      <c r="C90" t="s">
        <v>15</v>
      </c>
      <c r="D90">
        <v>5</v>
      </c>
      <c r="E90">
        <v>90</v>
      </c>
      <c r="F90">
        <v>86</v>
      </c>
      <c r="G90">
        <v>88</v>
      </c>
      <c r="H90">
        <v>89</v>
      </c>
      <c r="I90" t="s">
        <v>13</v>
      </c>
      <c r="J90">
        <v>6</v>
      </c>
      <c r="K90">
        <v>2</v>
      </c>
    </row>
    <row r="91" spans="1:11">
      <c r="A91">
        <v>87</v>
      </c>
      <c r="B91" t="s">
        <v>101</v>
      </c>
      <c r="C91" t="s">
        <v>12</v>
      </c>
      <c r="D91">
        <v>2</v>
      </c>
      <c r="E91">
        <v>70</v>
      </c>
      <c r="F91">
        <v>62</v>
      </c>
      <c r="G91">
        <v>60</v>
      </c>
      <c r="H91">
        <v>66</v>
      </c>
      <c r="I91" t="s">
        <v>16</v>
      </c>
      <c r="J91">
        <v>8</v>
      </c>
      <c r="K91">
        <v>5</v>
      </c>
    </row>
    <row r="92" spans="1:11">
      <c r="A92">
        <v>88</v>
      </c>
      <c r="B92" t="s">
        <v>102</v>
      </c>
      <c r="C92" t="s">
        <v>15</v>
      </c>
      <c r="D92">
        <v>4</v>
      </c>
      <c r="E92">
        <v>88</v>
      </c>
      <c r="F92">
        <v>84</v>
      </c>
      <c r="G92">
        <v>83</v>
      </c>
      <c r="H92">
        <v>86</v>
      </c>
      <c r="I92" t="s">
        <v>13</v>
      </c>
      <c r="J92">
        <v>7</v>
      </c>
      <c r="K92">
        <v>3</v>
      </c>
    </row>
    <row r="93" spans="1:11">
      <c r="A93">
        <v>89</v>
      </c>
      <c r="B93" t="s">
        <v>103</v>
      </c>
      <c r="C93" t="s">
        <v>12</v>
      </c>
      <c r="D93">
        <v>3</v>
      </c>
      <c r="E93">
        <v>82</v>
      </c>
      <c r="F93">
        <v>76</v>
      </c>
      <c r="G93">
        <v>75</v>
      </c>
      <c r="H93">
        <v>80</v>
      </c>
      <c r="I93" t="s">
        <v>16</v>
      </c>
      <c r="J93">
        <v>7</v>
      </c>
      <c r="K93">
        <v>4</v>
      </c>
    </row>
    <row r="94" spans="1:11">
      <c r="A94">
        <v>90</v>
      </c>
      <c r="B94" t="s">
        <v>104</v>
      </c>
      <c r="C94" t="s">
        <v>15</v>
      </c>
      <c r="D94">
        <v>5</v>
      </c>
      <c r="E94">
        <v>91</v>
      </c>
      <c r="F94">
        <v>87</v>
      </c>
      <c r="G94">
        <v>88</v>
      </c>
      <c r="H94">
        <v>90</v>
      </c>
      <c r="I94" t="s">
        <v>13</v>
      </c>
      <c r="J94">
        <v>6</v>
      </c>
      <c r="K94">
        <v>2</v>
      </c>
    </row>
    <row r="95" spans="1:11">
      <c r="A95">
        <v>91</v>
      </c>
      <c r="B95" t="s">
        <v>105</v>
      </c>
      <c r="C95" t="s">
        <v>12</v>
      </c>
      <c r="D95">
        <v>2</v>
      </c>
      <c r="E95">
        <v>68</v>
      </c>
      <c r="F95">
        <v>60</v>
      </c>
      <c r="G95">
        <v>58</v>
      </c>
      <c r="H95">
        <v>64</v>
      </c>
      <c r="I95" t="s">
        <v>16</v>
      </c>
      <c r="J95">
        <v>8</v>
      </c>
      <c r="K95">
        <v>5</v>
      </c>
    </row>
    <row r="96" spans="1:11">
      <c r="A96">
        <v>92</v>
      </c>
      <c r="B96" t="s">
        <v>106</v>
      </c>
      <c r="C96" t="s">
        <v>15</v>
      </c>
      <c r="D96">
        <v>4</v>
      </c>
      <c r="E96">
        <v>85</v>
      </c>
      <c r="F96">
        <v>81</v>
      </c>
      <c r="G96">
        <v>82</v>
      </c>
      <c r="H96">
        <v>84</v>
      </c>
      <c r="I96" t="s">
        <v>13</v>
      </c>
      <c r="J96">
        <v>7</v>
      </c>
      <c r="K96">
        <v>3</v>
      </c>
    </row>
    <row r="97" spans="1:11">
      <c r="A97">
        <v>93</v>
      </c>
      <c r="B97" t="s">
        <v>107</v>
      </c>
      <c r="C97" t="s">
        <v>12</v>
      </c>
      <c r="D97">
        <v>6</v>
      </c>
      <c r="E97">
        <v>94</v>
      </c>
      <c r="F97">
        <v>91</v>
      </c>
      <c r="G97">
        <v>90</v>
      </c>
      <c r="H97">
        <v>92</v>
      </c>
      <c r="I97" t="s">
        <v>16</v>
      </c>
      <c r="J97">
        <v>6</v>
      </c>
      <c r="K97">
        <v>2</v>
      </c>
    </row>
    <row r="98" spans="1:11">
      <c r="A98">
        <v>94</v>
      </c>
      <c r="B98" t="s">
        <v>108</v>
      </c>
      <c r="C98" t="s">
        <v>15</v>
      </c>
      <c r="D98">
        <v>3</v>
      </c>
      <c r="E98">
        <v>79</v>
      </c>
      <c r="F98">
        <v>74</v>
      </c>
      <c r="G98">
        <v>72</v>
      </c>
      <c r="H98">
        <v>77</v>
      </c>
      <c r="I98" t="s">
        <v>13</v>
      </c>
      <c r="J98">
        <v>7</v>
      </c>
      <c r="K98">
        <v>4</v>
      </c>
    </row>
    <row r="99" spans="1:11">
      <c r="A99">
        <v>95</v>
      </c>
      <c r="B99" t="s">
        <v>109</v>
      </c>
      <c r="C99" t="s">
        <v>12</v>
      </c>
      <c r="D99">
        <v>2</v>
      </c>
      <c r="E99">
        <v>72</v>
      </c>
      <c r="F99">
        <v>65</v>
      </c>
      <c r="G99">
        <v>64</v>
      </c>
      <c r="H99">
        <v>68</v>
      </c>
      <c r="I99" t="s">
        <v>16</v>
      </c>
      <c r="J99">
        <v>8</v>
      </c>
      <c r="K99">
        <v>5</v>
      </c>
    </row>
    <row r="100" spans="1:11">
      <c r="A100">
        <v>96</v>
      </c>
      <c r="B100" t="s">
        <v>110</v>
      </c>
      <c r="C100" t="s">
        <v>15</v>
      </c>
      <c r="D100">
        <v>5</v>
      </c>
      <c r="E100">
        <v>90</v>
      </c>
      <c r="F100">
        <v>86</v>
      </c>
      <c r="G100">
        <v>88</v>
      </c>
      <c r="H100">
        <v>89</v>
      </c>
      <c r="I100" t="s">
        <v>13</v>
      </c>
      <c r="J100">
        <v>6</v>
      </c>
      <c r="K100">
        <v>2</v>
      </c>
    </row>
    <row r="101" spans="1:11">
      <c r="A101">
        <v>97</v>
      </c>
      <c r="B101" t="s">
        <v>111</v>
      </c>
      <c r="C101" t="s">
        <v>12</v>
      </c>
      <c r="D101">
        <v>3</v>
      </c>
      <c r="E101">
        <v>80</v>
      </c>
      <c r="F101">
        <v>75</v>
      </c>
      <c r="G101">
        <v>73</v>
      </c>
      <c r="H101">
        <v>78</v>
      </c>
      <c r="I101" t="s">
        <v>13</v>
      </c>
      <c r="J101">
        <v>7</v>
      </c>
      <c r="K101">
        <v>4</v>
      </c>
    </row>
    <row r="102" spans="1:11">
      <c r="A102">
        <v>98</v>
      </c>
      <c r="B102" t="s">
        <v>112</v>
      </c>
      <c r="C102" t="s">
        <v>15</v>
      </c>
      <c r="D102">
        <v>4</v>
      </c>
      <c r="E102">
        <v>87</v>
      </c>
      <c r="F102">
        <v>83</v>
      </c>
      <c r="G102">
        <v>81</v>
      </c>
      <c r="H102">
        <v>85</v>
      </c>
      <c r="I102" t="s">
        <v>16</v>
      </c>
      <c r="J102">
        <v>6</v>
      </c>
      <c r="K102">
        <v>3</v>
      </c>
    </row>
    <row r="103" spans="1:11">
      <c r="A103">
        <v>99</v>
      </c>
      <c r="B103" t="s">
        <v>113</v>
      </c>
      <c r="C103" t="s">
        <v>12</v>
      </c>
      <c r="D103">
        <v>1</v>
      </c>
      <c r="E103">
        <v>62</v>
      </c>
      <c r="F103">
        <v>52</v>
      </c>
      <c r="G103">
        <v>50</v>
      </c>
      <c r="H103">
        <v>57</v>
      </c>
      <c r="I103" t="s">
        <v>16</v>
      </c>
      <c r="J103">
        <v>8</v>
      </c>
      <c r="K103">
        <v>6</v>
      </c>
    </row>
    <row r="104" spans="1:11">
      <c r="A104">
        <v>100</v>
      </c>
      <c r="B104" t="s">
        <v>114</v>
      </c>
      <c r="C104" t="s">
        <v>15</v>
      </c>
      <c r="D104">
        <v>5</v>
      </c>
      <c r="E104">
        <v>92</v>
      </c>
      <c r="F104">
        <v>89</v>
      </c>
      <c r="G104">
        <v>90</v>
      </c>
      <c r="H104">
        <v>93</v>
      </c>
      <c r="I104" t="s">
        <v>13</v>
      </c>
      <c r="J104">
        <v>6</v>
      </c>
      <c r="K104">
        <v>2</v>
      </c>
    </row>
    <row r="105" spans="1:11">
      <c r="A105">
        <v>70</v>
      </c>
      <c r="B105" t="s">
        <v>84</v>
      </c>
      <c r="C105" t="s">
        <v>15</v>
      </c>
      <c r="D105">
        <v>5</v>
      </c>
      <c r="E105">
        <v>90</v>
      </c>
      <c r="F105">
        <v>85</v>
      </c>
      <c r="G105">
        <v>87</v>
      </c>
      <c r="H105">
        <v>89</v>
      </c>
      <c r="I105" t="s">
        <v>13</v>
      </c>
      <c r="J105">
        <v>6</v>
      </c>
      <c r="K105">
        <v>2</v>
      </c>
    </row>
    <row r="106" spans="1:11">
      <c r="A106">
        <v>85</v>
      </c>
      <c r="B106" t="s">
        <v>99</v>
      </c>
      <c r="C106" t="s">
        <v>12</v>
      </c>
      <c r="D106">
        <v>4</v>
      </c>
      <c r="E106">
        <v>85</v>
      </c>
      <c r="F106">
        <v>80</v>
      </c>
      <c r="G106">
        <v>82</v>
      </c>
      <c r="H106">
        <v>84</v>
      </c>
      <c r="I106" t="s">
        <v>13</v>
      </c>
      <c r="J106">
        <v>7</v>
      </c>
      <c r="K106">
        <v>3</v>
      </c>
    </row>
    <row r="107" spans="1:11">
      <c r="A107">
        <v>101</v>
      </c>
      <c r="B107" t="s">
        <v>65</v>
      </c>
      <c r="C107" t="s">
        <v>66</v>
      </c>
      <c r="D107">
        <v>3</v>
      </c>
      <c r="E107">
        <v>85</v>
      </c>
      <c r="F107">
        <v>78</v>
      </c>
      <c r="G107">
        <v>72</v>
      </c>
      <c r="H107">
        <v>80</v>
      </c>
      <c r="I107" t="s">
        <v>67</v>
      </c>
      <c r="J107">
        <v>7</v>
      </c>
      <c r="K107">
        <v>3</v>
      </c>
    </row>
    <row r="108" spans="1:11">
      <c r="A108">
        <v>102</v>
      </c>
      <c r="B108" t="s">
        <v>115</v>
      </c>
      <c r="C108" t="s">
        <v>69</v>
      </c>
      <c r="D108">
        <v>4</v>
      </c>
      <c r="E108">
        <v>88</v>
      </c>
      <c r="F108">
        <v>82</v>
      </c>
      <c r="G108">
        <v>79</v>
      </c>
      <c r="H108">
        <v>85</v>
      </c>
      <c r="I108" t="s">
        <v>70</v>
      </c>
      <c r="J108">
        <v>7</v>
      </c>
      <c r="K108">
        <v>3</v>
      </c>
    </row>
    <row r="109" spans="1:11">
      <c r="A109">
        <v>103</v>
      </c>
      <c r="C109" t="s">
        <v>15</v>
      </c>
      <c r="D109">
        <v>5</v>
      </c>
      <c r="E109">
        <v>90</v>
      </c>
      <c r="F109">
        <v>85</v>
      </c>
      <c r="G109">
        <v>87</v>
      </c>
      <c r="H109">
        <v>89</v>
      </c>
      <c r="I109" t="s">
        <v>13</v>
      </c>
      <c r="J109">
        <v>6</v>
      </c>
      <c r="K109">
        <v>2</v>
      </c>
    </row>
    <row r="110" spans="1:11">
      <c r="A110">
        <v>104</v>
      </c>
      <c r="B110" t="s">
        <v>116</v>
      </c>
      <c r="C110" t="s">
        <v>12</v>
      </c>
      <c r="D110">
        <v>4</v>
      </c>
      <c r="E110">
        <v>86</v>
      </c>
      <c r="F110">
        <v>82</v>
      </c>
      <c r="G110">
        <v>80</v>
      </c>
      <c r="H110">
        <v>84</v>
      </c>
      <c r="I110" t="s">
        <v>13</v>
      </c>
      <c r="J110">
        <v>7</v>
      </c>
      <c r="K110">
        <v>3</v>
      </c>
    </row>
    <row r="111" spans="1:11">
      <c r="A111">
        <v>105</v>
      </c>
      <c r="B111" t="s">
        <v>117</v>
      </c>
      <c r="C111" t="s">
        <v>15</v>
      </c>
      <c r="D111">
        <v>5</v>
      </c>
      <c r="E111">
        <v>91</v>
      </c>
      <c r="F111">
        <v>87</v>
      </c>
      <c r="G111">
        <v>88</v>
      </c>
      <c r="H111">
        <v>90</v>
      </c>
      <c r="I111" t="s">
        <v>13</v>
      </c>
      <c r="J111">
        <v>6</v>
      </c>
      <c r="K111">
        <v>2</v>
      </c>
    </row>
    <row r="112" spans="1:11">
      <c r="A112">
        <v>106</v>
      </c>
      <c r="B112" t="s">
        <v>118</v>
      </c>
      <c r="C112" t="s">
        <v>12</v>
      </c>
      <c r="D112">
        <v>3</v>
      </c>
      <c r="E112">
        <v>80</v>
      </c>
      <c r="F112">
        <v>75</v>
      </c>
      <c r="G112">
        <v>73</v>
      </c>
      <c r="H112">
        <v>78</v>
      </c>
      <c r="I112" t="s">
        <v>16</v>
      </c>
      <c r="J112">
        <v>7</v>
      </c>
      <c r="K112">
        <v>4</v>
      </c>
    </row>
    <row r="113" spans="1:11">
      <c r="A113">
        <v>107</v>
      </c>
      <c r="B113" t="s">
        <v>119</v>
      </c>
      <c r="C113" t="s">
        <v>15</v>
      </c>
      <c r="D113">
        <v>4</v>
      </c>
      <c r="E113">
        <v>87</v>
      </c>
      <c r="F113">
        <v>83</v>
      </c>
      <c r="G113">
        <v>81</v>
      </c>
      <c r="H113">
        <v>85</v>
      </c>
      <c r="I113" t="s">
        <v>13</v>
      </c>
      <c r="J113">
        <v>6</v>
      </c>
      <c r="K113">
        <v>3</v>
      </c>
    </row>
    <row r="114" spans="1:11">
      <c r="A114">
        <v>108</v>
      </c>
      <c r="B114" t="s">
        <v>120</v>
      </c>
      <c r="C114" t="s">
        <v>12</v>
      </c>
      <c r="D114">
        <v>2</v>
      </c>
      <c r="E114">
        <v>70</v>
      </c>
      <c r="F114">
        <v>62</v>
      </c>
      <c r="G114">
        <v>60</v>
      </c>
      <c r="H114">
        <v>66</v>
      </c>
      <c r="I114" t="s">
        <v>16</v>
      </c>
      <c r="J114">
        <v>8</v>
      </c>
      <c r="K114">
        <v>5</v>
      </c>
    </row>
    <row r="115" spans="1:11">
      <c r="A115">
        <v>109</v>
      </c>
      <c r="B115" t="s">
        <v>121</v>
      </c>
      <c r="C115" t="s">
        <v>15</v>
      </c>
      <c r="D115">
        <v>5</v>
      </c>
      <c r="E115">
        <v>92</v>
      </c>
      <c r="F115">
        <v>88</v>
      </c>
      <c r="G115">
        <v>90</v>
      </c>
      <c r="H115">
        <v>91</v>
      </c>
      <c r="I115" t="s">
        <v>13</v>
      </c>
      <c r="J115">
        <v>6</v>
      </c>
      <c r="K115">
        <v>2</v>
      </c>
    </row>
    <row r="116" spans="1:11">
      <c r="A116">
        <v>110</v>
      </c>
      <c r="B116" t="s">
        <v>122</v>
      </c>
      <c r="C116" t="s">
        <v>12</v>
      </c>
      <c r="D116">
        <v>3</v>
      </c>
      <c r="E116">
        <v>78</v>
      </c>
      <c r="F116">
        <v>72</v>
      </c>
      <c r="G116">
        <v>70</v>
      </c>
      <c r="H116">
        <v>75</v>
      </c>
      <c r="I116" t="s">
        <v>13</v>
      </c>
      <c r="J116">
        <v>7</v>
      </c>
      <c r="K116">
        <v>4</v>
      </c>
    </row>
    <row r="117" spans="1:11">
      <c r="A117">
        <v>111</v>
      </c>
      <c r="B117" t="s">
        <v>123</v>
      </c>
      <c r="C117" t="s">
        <v>15</v>
      </c>
      <c r="D117">
        <v>4</v>
      </c>
      <c r="E117">
        <v>85</v>
      </c>
      <c r="F117">
        <v>80</v>
      </c>
      <c r="G117">
        <v>82</v>
      </c>
      <c r="H117">
        <v>84</v>
      </c>
      <c r="I117" t="s">
        <v>13</v>
      </c>
      <c r="J117">
        <v>7</v>
      </c>
      <c r="K117">
        <v>3</v>
      </c>
    </row>
    <row r="118" spans="1:11">
      <c r="A118">
        <v>112</v>
      </c>
      <c r="B118" t="s">
        <v>124</v>
      </c>
      <c r="C118" t="s">
        <v>12</v>
      </c>
      <c r="D118">
        <v>6</v>
      </c>
      <c r="E118">
        <v>94</v>
      </c>
      <c r="F118">
        <v>91</v>
      </c>
      <c r="G118">
        <v>90</v>
      </c>
      <c r="H118">
        <v>92</v>
      </c>
      <c r="I118" t="s">
        <v>16</v>
      </c>
      <c r="J118">
        <v>6</v>
      </c>
      <c r="K118">
        <v>2</v>
      </c>
    </row>
    <row r="119" spans="1:11">
      <c r="A119">
        <v>113</v>
      </c>
      <c r="B119" t="s">
        <v>54</v>
      </c>
      <c r="C119" t="s">
        <v>15</v>
      </c>
      <c r="D119">
        <v>3</v>
      </c>
      <c r="E119">
        <v>79</v>
      </c>
      <c r="F119">
        <v>74</v>
      </c>
      <c r="G119">
        <v>72</v>
      </c>
      <c r="H119">
        <v>76</v>
      </c>
      <c r="I119" t="s">
        <v>13</v>
      </c>
      <c r="J119">
        <v>7</v>
      </c>
      <c r="K119">
        <v>4</v>
      </c>
    </row>
    <row r="120" spans="1:11">
      <c r="A120">
        <v>114</v>
      </c>
      <c r="B120" t="s">
        <v>125</v>
      </c>
      <c r="C120" t="s">
        <v>12</v>
      </c>
      <c r="D120">
        <v>2</v>
      </c>
      <c r="E120">
        <v>72</v>
      </c>
      <c r="F120">
        <v>65</v>
      </c>
      <c r="G120">
        <v>64</v>
      </c>
      <c r="H120">
        <v>68</v>
      </c>
      <c r="I120" t="s">
        <v>16</v>
      </c>
      <c r="J120">
        <v>8</v>
      </c>
      <c r="K120">
        <v>5</v>
      </c>
    </row>
    <row r="121" spans="1:11">
      <c r="A121">
        <v>115</v>
      </c>
      <c r="B121" t="s">
        <v>126</v>
      </c>
      <c r="C121" t="s">
        <v>12</v>
      </c>
      <c r="D121">
        <v>5</v>
      </c>
      <c r="E121">
        <v>90</v>
      </c>
      <c r="F121">
        <v>86</v>
      </c>
      <c r="G121">
        <v>88</v>
      </c>
      <c r="H121">
        <v>89</v>
      </c>
      <c r="I121" t="s">
        <v>13</v>
      </c>
      <c r="J121">
        <v>6</v>
      </c>
      <c r="K121">
        <v>2</v>
      </c>
    </row>
    <row r="122" spans="1:11">
      <c r="A122">
        <v>116</v>
      </c>
      <c r="B122" t="s">
        <v>127</v>
      </c>
      <c r="C122" t="s">
        <v>15</v>
      </c>
      <c r="D122">
        <v>4</v>
      </c>
      <c r="E122">
        <v>87</v>
      </c>
      <c r="F122">
        <v>83</v>
      </c>
      <c r="G122">
        <v>81</v>
      </c>
      <c r="H122">
        <v>85</v>
      </c>
      <c r="I122" t="s">
        <v>13</v>
      </c>
      <c r="J122">
        <v>6</v>
      </c>
      <c r="K122">
        <v>3</v>
      </c>
    </row>
    <row r="123" spans="1:11">
      <c r="A123">
        <v>117</v>
      </c>
      <c r="B123" t="s">
        <v>128</v>
      </c>
      <c r="C123" t="s">
        <v>12</v>
      </c>
      <c r="D123">
        <v>3</v>
      </c>
      <c r="E123">
        <v>80</v>
      </c>
      <c r="F123">
        <v>75</v>
      </c>
      <c r="G123">
        <v>73</v>
      </c>
      <c r="H123">
        <v>78</v>
      </c>
      <c r="I123" t="s">
        <v>16</v>
      </c>
      <c r="J123">
        <v>7</v>
      </c>
      <c r="K123">
        <v>4</v>
      </c>
    </row>
    <row r="124" spans="1:11">
      <c r="A124">
        <v>118</v>
      </c>
      <c r="B124" t="s">
        <v>129</v>
      </c>
      <c r="C124" t="s">
        <v>15</v>
      </c>
      <c r="D124">
        <v>5</v>
      </c>
      <c r="E124">
        <v>91</v>
      </c>
      <c r="F124">
        <v>87</v>
      </c>
      <c r="G124">
        <v>88</v>
      </c>
      <c r="H124">
        <v>90</v>
      </c>
      <c r="I124" t="s">
        <v>13</v>
      </c>
      <c r="J124">
        <v>6</v>
      </c>
      <c r="K124">
        <v>2</v>
      </c>
    </row>
    <row r="125" spans="1:11">
      <c r="A125">
        <v>119</v>
      </c>
      <c r="B125" t="s">
        <v>130</v>
      </c>
      <c r="C125" t="s">
        <v>12</v>
      </c>
      <c r="D125">
        <v>2</v>
      </c>
      <c r="E125">
        <v>68</v>
      </c>
      <c r="F125">
        <v>60</v>
      </c>
      <c r="G125">
        <v>58</v>
      </c>
      <c r="H125">
        <v>64</v>
      </c>
      <c r="I125" t="s">
        <v>16</v>
      </c>
      <c r="J125">
        <v>8</v>
      </c>
      <c r="K125">
        <v>5</v>
      </c>
    </row>
    <row r="126" spans="1:11">
      <c r="A126">
        <v>120</v>
      </c>
      <c r="B126" t="s">
        <v>131</v>
      </c>
      <c r="C126" t="s">
        <v>15</v>
      </c>
      <c r="D126">
        <v>4</v>
      </c>
      <c r="E126">
        <v>85</v>
      </c>
      <c r="F126">
        <v>81</v>
      </c>
      <c r="G126">
        <v>82</v>
      </c>
      <c r="H126">
        <v>84</v>
      </c>
      <c r="I126" t="s">
        <v>13</v>
      </c>
      <c r="J126">
        <v>7</v>
      </c>
      <c r="K126">
        <v>3</v>
      </c>
    </row>
    <row r="127" spans="1:11">
      <c r="A127">
        <v>121</v>
      </c>
      <c r="B127" t="s">
        <v>132</v>
      </c>
      <c r="C127" t="s">
        <v>12</v>
      </c>
      <c r="D127">
        <v>6</v>
      </c>
      <c r="E127">
        <v>94</v>
      </c>
      <c r="F127">
        <v>92</v>
      </c>
      <c r="G127">
        <v>91</v>
      </c>
      <c r="H127">
        <v>95</v>
      </c>
      <c r="I127" t="s">
        <v>16</v>
      </c>
      <c r="J127">
        <v>6</v>
      </c>
      <c r="K127">
        <v>2</v>
      </c>
    </row>
    <row r="128" spans="1:11">
      <c r="A128">
        <v>122</v>
      </c>
      <c r="B128" t="s">
        <v>133</v>
      </c>
      <c r="C128" t="s">
        <v>15</v>
      </c>
      <c r="D128">
        <v>3</v>
      </c>
      <c r="E128">
        <v>78</v>
      </c>
      <c r="F128">
        <v>72</v>
      </c>
      <c r="G128">
        <v>70</v>
      </c>
      <c r="H128">
        <v>75</v>
      </c>
      <c r="I128" t="s">
        <v>13</v>
      </c>
      <c r="J128">
        <v>7</v>
      </c>
      <c r="K128">
        <v>4</v>
      </c>
    </row>
    <row r="129" spans="1:11">
      <c r="A129">
        <v>123</v>
      </c>
      <c r="B129" t="s">
        <v>134</v>
      </c>
      <c r="C129" t="s">
        <v>12</v>
      </c>
      <c r="D129">
        <v>4</v>
      </c>
      <c r="E129">
        <v>85</v>
      </c>
      <c r="F129">
        <v>80</v>
      </c>
      <c r="G129">
        <v>82</v>
      </c>
      <c r="H129">
        <v>84</v>
      </c>
      <c r="I129" t="s">
        <v>13</v>
      </c>
      <c r="J129">
        <v>7</v>
      </c>
      <c r="K129">
        <v>3</v>
      </c>
    </row>
    <row r="130" spans="1:11">
      <c r="A130">
        <v>124</v>
      </c>
      <c r="B130" t="s">
        <v>28</v>
      </c>
      <c r="C130" t="s">
        <v>15</v>
      </c>
      <c r="D130">
        <v>5</v>
      </c>
      <c r="E130">
        <v>90</v>
      </c>
      <c r="F130">
        <v>86</v>
      </c>
      <c r="G130">
        <v>88</v>
      </c>
      <c r="H130">
        <v>89</v>
      </c>
      <c r="I130" t="s">
        <v>13</v>
      </c>
      <c r="J130">
        <v>6</v>
      </c>
      <c r="K130">
        <v>2</v>
      </c>
    </row>
    <row r="131" spans="1:11">
      <c r="A131">
        <v>125</v>
      </c>
      <c r="B131" t="s">
        <v>135</v>
      </c>
      <c r="C131" t="s">
        <v>12</v>
      </c>
      <c r="D131">
        <v>2</v>
      </c>
      <c r="E131">
        <v>70</v>
      </c>
      <c r="F131">
        <v>62</v>
      </c>
      <c r="G131">
        <v>60</v>
      </c>
      <c r="H131">
        <v>66</v>
      </c>
      <c r="I131" t="s">
        <v>16</v>
      </c>
      <c r="J131">
        <v>8</v>
      </c>
      <c r="K131">
        <v>5</v>
      </c>
    </row>
    <row r="132" spans="1:11">
      <c r="A132">
        <v>126</v>
      </c>
      <c r="B132" t="s">
        <v>136</v>
      </c>
      <c r="C132" t="s">
        <v>15</v>
      </c>
      <c r="D132">
        <v>4</v>
      </c>
      <c r="E132">
        <v>88</v>
      </c>
      <c r="F132">
        <v>84</v>
      </c>
      <c r="G132">
        <v>83</v>
      </c>
      <c r="H132">
        <v>86</v>
      </c>
      <c r="I132" t="s">
        <v>13</v>
      </c>
      <c r="J132">
        <v>7</v>
      </c>
      <c r="K132">
        <v>3</v>
      </c>
    </row>
    <row r="133" spans="1:11">
      <c r="A133">
        <v>127</v>
      </c>
      <c r="B133" t="s">
        <v>137</v>
      </c>
      <c r="C133" t="s">
        <v>12</v>
      </c>
      <c r="D133">
        <v>3</v>
      </c>
      <c r="E133">
        <v>82</v>
      </c>
      <c r="F133">
        <v>76</v>
      </c>
      <c r="G133">
        <v>75</v>
      </c>
      <c r="H133">
        <v>80</v>
      </c>
      <c r="I133" t="s">
        <v>16</v>
      </c>
      <c r="J133">
        <v>7</v>
      </c>
      <c r="K133">
        <v>4</v>
      </c>
    </row>
    <row r="134" spans="1:11">
      <c r="A134">
        <v>128</v>
      </c>
      <c r="B134" t="s">
        <v>138</v>
      </c>
      <c r="C134" t="s">
        <v>15</v>
      </c>
      <c r="D134">
        <v>5</v>
      </c>
      <c r="E134">
        <v>91</v>
      </c>
      <c r="F134">
        <v>87</v>
      </c>
      <c r="G134">
        <v>88</v>
      </c>
      <c r="H134">
        <v>90</v>
      </c>
      <c r="I134" t="s">
        <v>13</v>
      </c>
      <c r="J134">
        <v>6</v>
      </c>
      <c r="K134">
        <v>2</v>
      </c>
    </row>
    <row r="135" spans="1:11">
      <c r="A135">
        <v>129</v>
      </c>
      <c r="B135" t="s">
        <v>139</v>
      </c>
      <c r="C135" t="s">
        <v>12</v>
      </c>
      <c r="D135">
        <v>2</v>
      </c>
      <c r="E135">
        <v>68</v>
      </c>
      <c r="F135">
        <v>60</v>
      </c>
      <c r="G135">
        <v>58</v>
      </c>
      <c r="H135">
        <v>64</v>
      </c>
      <c r="I135" t="s">
        <v>16</v>
      </c>
      <c r="J135">
        <v>8</v>
      </c>
      <c r="K135">
        <v>5</v>
      </c>
    </row>
    <row r="136" spans="1:11">
      <c r="A136">
        <v>130</v>
      </c>
      <c r="B136" t="s">
        <v>140</v>
      </c>
      <c r="C136" t="s">
        <v>15</v>
      </c>
      <c r="D136">
        <v>4</v>
      </c>
      <c r="E136">
        <v>85</v>
      </c>
      <c r="F136">
        <v>81</v>
      </c>
      <c r="G136">
        <v>82</v>
      </c>
      <c r="H136">
        <v>84</v>
      </c>
      <c r="I136" t="s">
        <v>13</v>
      </c>
      <c r="J136">
        <v>7</v>
      </c>
      <c r="K136">
        <v>3</v>
      </c>
    </row>
    <row r="137" spans="1:11">
      <c r="A137">
        <v>131</v>
      </c>
      <c r="B137" t="s">
        <v>141</v>
      </c>
      <c r="C137" t="s">
        <v>12</v>
      </c>
      <c r="D137">
        <v>6</v>
      </c>
      <c r="E137">
        <v>94</v>
      </c>
      <c r="F137">
        <v>91</v>
      </c>
      <c r="G137">
        <v>90</v>
      </c>
      <c r="H137">
        <v>92</v>
      </c>
      <c r="I137" t="s">
        <v>16</v>
      </c>
      <c r="J137">
        <v>6</v>
      </c>
      <c r="K137">
        <v>2</v>
      </c>
    </row>
    <row r="138" spans="1:11">
      <c r="A138">
        <v>132</v>
      </c>
      <c r="B138" t="s">
        <v>142</v>
      </c>
      <c r="C138" t="s">
        <v>15</v>
      </c>
      <c r="D138">
        <v>3</v>
      </c>
      <c r="E138">
        <v>79</v>
      </c>
      <c r="F138">
        <v>74</v>
      </c>
      <c r="G138">
        <v>72</v>
      </c>
      <c r="H138">
        <v>77</v>
      </c>
      <c r="I138" t="s">
        <v>13</v>
      </c>
      <c r="J138">
        <v>7</v>
      </c>
      <c r="K138">
        <v>4</v>
      </c>
    </row>
    <row r="139" spans="1:11">
      <c r="A139">
        <v>133</v>
      </c>
      <c r="B139" t="s">
        <v>143</v>
      </c>
      <c r="C139" t="s">
        <v>15</v>
      </c>
      <c r="D139">
        <v>5</v>
      </c>
      <c r="E139">
        <v>90</v>
      </c>
      <c r="F139">
        <v>86</v>
      </c>
      <c r="G139">
        <v>88</v>
      </c>
      <c r="H139">
        <v>89</v>
      </c>
      <c r="I139" t="s">
        <v>13</v>
      </c>
      <c r="J139">
        <v>6</v>
      </c>
      <c r="K139">
        <v>2</v>
      </c>
    </row>
    <row r="140" spans="1:11">
      <c r="A140">
        <v>134</v>
      </c>
      <c r="B140" t="s">
        <v>33</v>
      </c>
      <c r="C140" t="s">
        <v>12</v>
      </c>
      <c r="D140">
        <v>3</v>
      </c>
      <c r="E140">
        <v>80</v>
      </c>
      <c r="F140">
        <v>75</v>
      </c>
      <c r="G140">
        <v>73</v>
      </c>
      <c r="H140">
        <v>78</v>
      </c>
      <c r="I140" t="s">
        <v>16</v>
      </c>
      <c r="J140">
        <v>7</v>
      </c>
      <c r="K140">
        <v>4</v>
      </c>
    </row>
    <row r="141" spans="1:11">
      <c r="A141">
        <v>135</v>
      </c>
      <c r="B141" t="s">
        <v>144</v>
      </c>
      <c r="C141" t="s">
        <v>15</v>
      </c>
      <c r="D141">
        <v>4</v>
      </c>
      <c r="E141">
        <v>87</v>
      </c>
      <c r="F141">
        <v>83</v>
      </c>
      <c r="G141">
        <v>81</v>
      </c>
      <c r="H141">
        <v>85</v>
      </c>
      <c r="I141" t="s">
        <v>13</v>
      </c>
      <c r="J141">
        <v>6</v>
      </c>
      <c r="K141">
        <v>3</v>
      </c>
    </row>
    <row r="142" spans="1:11">
      <c r="A142">
        <v>136</v>
      </c>
      <c r="B142" t="s">
        <v>145</v>
      </c>
      <c r="C142" t="s">
        <v>12</v>
      </c>
      <c r="D142">
        <v>2</v>
      </c>
      <c r="E142">
        <v>70</v>
      </c>
      <c r="F142">
        <v>62</v>
      </c>
      <c r="G142">
        <v>60</v>
      </c>
      <c r="H142">
        <v>66</v>
      </c>
      <c r="I142" t="s">
        <v>16</v>
      </c>
      <c r="J142">
        <v>8</v>
      </c>
      <c r="K142">
        <v>5</v>
      </c>
    </row>
    <row r="143" spans="1:11">
      <c r="A143">
        <v>137</v>
      </c>
      <c r="B143" t="s">
        <v>146</v>
      </c>
      <c r="C143" t="s">
        <v>15</v>
      </c>
      <c r="D143">
        <v>5</v>
      </c>
      <c r="E143">
        <v>92</v>
      </c>
      <c r="F143">
        <v>88</v>
      </c>
      <c r="G143">
        <v>90</v>
      </c>
      <c r="H143">
        <v>91</v>
      </c>
      <c r="I143" t="s">
        <v>13</v>
      </c>
      <c r="J143">
        <v>6</v>
      </c>
      <c r="K143">
        <v>2</v>
      </c>
    </row>
    <row r="144" spans="1:11">
      <c r="A144">
        <v>138</v>
      </c>
      <c r="B144" t="s">
        <v>147</v>
      </c>
      <c r="C144" t="s">
        <v>12</v>
      </c>
      <c r="D144">
        <v>3</v>
      </c>
      <c r="E144">
        <v>78</v>
      </c>
      <c r="F144">
        <v>72</v>
      </c>
      <c r="G144">
        <v>70</v>
      </c>
      <c r="H144">
        <v>75</v>
      </c>
      <c r="I144" t="s">
        <v>13</v>
      </c>
      <c r="J144">
        <v>7</v>
      </c>
      <c r="K144">
        <v>4</v>
      </c>
    </row>
    <row r="145" spans="1:11">
      <c r="A145">
        <v>139</v>
      </c>
      <c r="B145" t="s">
        <v>148</v>
      </c>
      <c r="C145" t="s">
        <v>15</v>
      </c>
      <c r="D145">
        <v>4</v>
      </c>
      <c r="E145">
        <v>85</v>
      </c>
      <c r="F145">
        <v>80</v>
      </c>
      <c r="G145">
        <v>82</v>
      </c>
      <c r="H145">
        <v>84</v>
      </c>
      <c r="I145" t="s">
        <v>13</v>
      </c>
      <c r="J145">
        <v>7</v>
      </c>
      <c r="K145">
        <v>3</v>
      </c>
    </row>
    <row r="146" spans="1:11">
      <c r="A146">
        <v>140</v>
      </c>
      <c r="B146" t="s">
        <v>149</v>
      </c>
      <c r="C146" t="s">
        <v>12</v>
      </c>
      <c r="D146">
        <v>6</v>
      </c>
      <c r="E146">
        <v>94</v>
      </c>
      <c r="F146">
        <v>91</v>
      </c>
      <c r="G146">
        <v>90</v>
      </c>
      <c r="H146">
        <v>92</v>
      </c>
      <c r="I146" t="s">
        <v>16</v>
      </c>
      <c r="J146">
        <v>6</v>
      </c>
      <c r="K146">
        <v>2</v>
      </c>
    </row>
    <row r="147" spans="1:11">
      <c r="A147">
        <v>141</v>
      </c>
      <c r="B147" t="s">
        <v>150</v>
      </c>
      <c r="C147" t="s">
        <v>15</v>
      </c>
      <c r="D147">
        <v>3</v>
      </c>
      <c r="E147">
        <v>79</v>
      </c>
      <c r="F147">
        <v>74</v>
      </c>
      <c r="G147">
        <v>72</v>
      </c>
      <c r="H147">
        <v>76</v>
      </c>
      <c r="I147" t="s">
        <v>13</v>
      </c>
      <c r="J147">
        <v>7</v>
      </c>
      <c r="K147">
        <v>4</v>
      </c>
    </row>
    <row r="148" spans="1:11">
      <c r="A148">
        <v>142</v>
      </c>
      <c r="B148" t="s">
        <v>151</v>
      </c>
      <c r="C148" t="s">
        <v>12</v>
      </c>
      <c r="D148">
        <v>2</v>
      </c>
      <c r="E148">
        <v>72</v>
      </c>
      <c r="F148">
        <v>65</v>
      </c>
      <c r="G148">
        <v>64</v>
      </c>
      <c r="H148">
        <v>68</v>
      </c>
      <c r="I148" t="s">
        <v>16</v>
      </c>
      <c r="J148">
        <v>8</v>
      </c>
      <c r="K148">
        <v>5</v>
      </c>
    </row>
    <row r="149" spans="1:11">
      <c r="A149">
        <v>143</v>
      </c>
      <c r="B149" t="s">
        <v>114</v>
      </c>
      <c r="C149" t="s">
        <v>15</v>
      </c>
      <c r="D149">
        <v>5</v>
      </c>
      <c r="E149">
        <v>90</v>
      </c>
      <c r="F149">
        <v>86</v>
      </c>
      <c r="G149">
        <v>88</v>
      </c>
      <c r="H149">
        <v>89</v>
      </c>
      <c r="I149" t="s">
        <v>13</v>
      </c>
      <c r="J149">
        <v>6</v>
      </c>
      <c r="K149">
        <v>2</v>
      </c>
    </row>
    <row r="150" spans="1:11">
      <c r="A150">
        <v>144</v>
      </c>
      <c r="B150" t="s">
        <v>152</v>
      </c>
      <c r="C150" t="s">
        <v>12</v>
      </c>
      <c r="D150">
        <v>3</v>
      </c>
      <c r="E150">
        <v>80</v>
      </c>
      <c r="F150">
        <v>75</v>
      </c>
      <c r="G150">
        <v>73</v>
      </c>
      <c r="H150">
        <v>78</v>
      </c>
      <c r="I150" t="s">
        <v>16</v>
      </c>
      <c r="J150">
        <v>7</v>
      </c>
      <c r="K150">
        <v>4</v>
      </c>
    </row>
    <row r="151" spans="1:11">
      <c r="A151">
        <v>145</v>
      </c>
      <c r="B151" t="s">
        <v>153</v>
      </c>
      <c r="C151" t="s">
        <v>15</v>
      </c>
      <c r="D151">
        <v>4</v>
      </c>
      <c r="E151">
        <v>87</v>
      </c>
      <c r="F151">
        <v>83</v>
      </c>
      <c r="G151">
        <v>81</v>
      </c>
      <c r="H151">
        <v>85</v>
      </c>
      <c r="I151" t="s">
        <v>13</v>
      </c>
      <c r="J151">
        <v>6</v>
      </c>
      <c r="K151">
        <v>3</v>
      </c>
    </row>
    <row r="152" spans="1:11">
      <c r="A152">
        <v>146</v>
      </c>
      <c r="B152" t="s">
        <v>35</v>
      </c>
      <c r="C152" t="s">
        <v>12</v>
      </c>
      <c r="D152">
        <v>2</v>
      </c>
      <c r="E152">
        <v>70</v>
      </c>
      <c r="F152">
        <v>62</v>
      </c>
      <c r="G152">
        <v>60</v>
      </c>
      <c r="H152">
        <v>66</v>
      </c>
      <c r="I152" t="s">
        <v>16</v>
      </c>
      <c r="J152">
        <v>8</v>
      </c>
      <c r="K152">
        <v>5</v>
      </c>
    </row>
    <row r="153" spans="1:11">
      <c r="A153">
        <v>147</v>
      </c>
      <c r="B153" t="s">
        <v>154</v>
      </c>
      <c r="C153" t="s">
        <v>15</v>
      </c>
      <c r="D153">
        <v>5</v>
      </c>
      <c r="E153">
        <v>92</v>
      </c>
      <c r="F153">
        <v>88</v>
      </c>
      <c r="G153">
        <v>90</v>
      </c>
      <c r="H153">
        <v>91</v>
      </c>
      <c r="I153" t="s">
        <v>13</v>
      </c>
      <c r="J153">
        <v>6</v>
      </c>
      <c r="K153">
        <v>2</v>
      </c>
    </row>
    <row r="154" spans="1:11">
      <c r="A154">
        <v>148</v>
      </c>
      <c r="B154" t="s">
        <v>71</v>
      </c>
      <c r="C154" t="s">
        <v>12</v>
      </c>
      <c r="D154">
        <v>3</v>
      </c>
      <c r="E154">
        <v>78</v>
      </c>
      <c r="F154">
        <v>72</v>
      </c>
      <c r="G154">
        <v>70</v>
      </c>
      <c r="H154">
        <v>75</v>
      </c>
      <c r="I154" t="s">
        <v>13</v>
      </c>
      <c r="J154">
        <v>7</v>
      </c>
      <c r="K154">
        <v>4</v>
      </c>
    </row>
    <row r="155" spans="1:11">
      <c r="A155">
        <v>149</v>
      </c>
      <c r="B155" t="s">
        <v>155</v>
      </c>
      <c r="C155" t="s">
        <v>15</v>
      </c>
      <c r="D155">
        <v>4</v>
      </c>
      <c r="E155">
        <v>85</v>
      </c>
      <c r="F155">
        <v>80</v>
      </c>
      <c r="G155">
        <v>82</v>
      </c>
      <c r="H155">
        <v>84</v>
      </c>
      <c r="I155" t="s">
        <v>13</v>
      </c>
      <c r="J155">
        <v>7</v>
      </c>
      <c r="K155">
        <v>3</v>
      </c>
    </row>
    <row r="156" spans="1:11">
      <c r="A156">
        <v>150</v>
      </c>
      <c r="B156" t="s">
        <v>156</v>
      </c>
      <c r="C156" t="s">
        <v>12</v>
      </c>
      <c r="D156">
        <v>6</v>
      </c>
      <c r="E156">
        <v>94</v>
      </c>
      <c r="F156">
        <v>91</v>
      </c>
      <c r="G156">
        <v>90</v>
      </c>
      <c r="H156">
        <v>92</v>
      </c>
      <c r="I156" t="s">
        <v>16</v>
      </c>
      <c r="J156">
        <v>6</v>
      </c>
      <c r="K156">
        <v>2</v>
      </c>
    </row>
    <row r="157" spans="1:11">
      <c r="A157">
        <v>151</v>
      </c>
      <c r="B157" t="s">
        <v>40</v>
      </c>
      <c r="C157" t="s">
        <v>15</v>
      </c>
      <c r="D157">
        <v>3</v>
      </c>
      <c r="E157">
        <v>79</v>
      </c>
      <c r="F157">
        <v>74</v>
      </c>
      <c r="G157">
        <v>72</v>
      </c>
      <c r="H157">
        <v>76</v>
      </c>
      <c r="I157" t="s">
        <v>13</v>
      </c>
      <c r="J157">
        <v>7</v>
      </c>
      <c r="K157">
        <v>4</v>
      </c>
    </row>
    <row r="158" spans="1:11">
      <c r="A158">
        <v>152</v>
      </c>
      <c r="B158" t="s">
        <v>157</v>
      </c>
      <c r="C158" t="s">
        <v>12</v>
      </c>
      <c r="D158">
        <v>2</v>
      </c>
      <c r="E158">
        <v>72</v>
      </c>
      <c r="F158">
        <v>65</v>
      </c>
      <c r="G158">
        <v>64</v>
      </c>
      <c r="H158">
        <v>68</v>
      </c>
      <c r="I158" t="s">
        <v>16</v>
      </c>
      <c r="J158">
        <v>8</v>
      </c>
      <c r="K158">
        <v>5</v>
      </c>
    </row>
    <row r="159" spans="1:11">
      <c r="A159">
        <v>153</v>
      </c>
      <c r="B159" t="s">
        <v>26</v>
      </c>
      <c r="C159" t="s">
        <v>15</v>
      </c>
      <c r="D159">
        <v>5</v>
      </c>
      <c r="E159">
        <v>90</v>
      </c>
      <c r="F159">
        <v>86</v>
      </c>
      <c r="G159">
        <v>88</v>
      </c>
      <c r="H159">
        <v>89</v>
      </c>
      <c r="I159" t="s">
        <v>13</v>
      </c>
      <c r="J159">
        <v>6</v>
      </c>
      <c r="K159">
        <v>2</v>
      </c>
    </row>
    <row r="160" spans="1:11">
      <c r="A160">
        <v>154</v>
      </c>
      <c r="B160" t="s">
        <v>71</v>
      </c>
      <c r="C160" t="s">
        <v>12</v>
      </c>
      <c r="D160">
        <v>4</v>
      </c>
      <c r="E160">
        <v>88</v>
      </c>
      <c r="F160">
        <v>82</v>
      </c>
      <c r="G160">
        <v>80</v>
      </c>
      <c r="H160">
        <v>85</v>
      </c>
      <c r="I160" t="s">
        <v>13</v>
      </c>
      <c r="J160">
        <v>7</v>
      </c>
      <c r="K160">
        <v>3</v>
      </c>
    </row>
    <row r="161" spans="1:11">
      <c r="A161">
        <v>155</v>
      </c>
      <c r="B161" t="s">
        <v>72</v>
      </c>
      <c r="C161" t="s">
        <v>12</v>
      </c>
      <c r="D161">
        <v>2</v>
      </c>
      <c r="E161">
        <v>75</v>
      </c>
      <c r="F161">
        <v>65</v>
      </c>
      <c r="G161">
        <v>60</v>
      </c>
      <c r="H161">
        <v>68</v>
      </c>
      <c r="I161" t="s">
        <v>16</v>
      </c>
      <c r="J161">
        <v>8</v>
      </c>
      <c r="K161">
        <v>5</v>
      </c>
    </row>
    <row r="162" spans="1:11">
      <c r="A162">
        <v>156</v>
      </c>
      <c r="B162" t="s">
        <v>73</v>
      </c>
      <c r="C162" t="s">
        <v>12</v>
      </c>
      <c r="D162">
        <v>3</v>
      </c>
      <c r="E162">
        <v>80</v>
      </c>
      <c r="F162">
        <v>75</v>
      </c>
      <c r="G162">
        <v>72</v>
      </c>
      <c r="H162">
        <v>78</v>
      </c>
      <c r="I162" t="s">
        <v>13</v>
      </c>
      <c r="J162">
        <v>7</v>
      </c>
      <c r="K162">
        <v>4</v>
      </c>
    </row>
    <row r="163" spans="1:11">
      <c r="A163">
        <v>157</v>
      </c>
      <c r="B163" t="s">
        <v>48</v>
      </c>
      <c r="C163" t="s">
        <v>15</v>
      </c>
      <c r="D163">
        <v>5</v>
      </c>
      <c r="E163">
        <v>90</v>
      </c>
      <c r="F163">
        <v>86</v>
      </c>
      <c r="G163">
        <v>88</v>
      </c>
      <c r="H163">
        <v>91</v>
      </c>
      <c r="I163" t="s">
        <v>13</v>
      </c>
      <c r="J163">
        <v>6</v>
      </c>
      <c r="K163">
        <v>2</v>
      </c>
    </row>
    <row r="164" spans="1:11">
      <c r="A164">
        <v>158</v>
      </c>
      <c r="B164" t="s">
        <v>74</v>
      </c>
      <c r="C164" t="s">
        <v>15</v>
      </c>
      <c r="D164">
        <v>4</v>
      </c>
      <c r="E164">
        <v>85</v>
      </c>
      <c r="F164">
        <v>80</v>
      </c>
      <c r="G164">
        <v>82</v>
      </c>
      <c r="H164">
        <v>84</v>
      </c>
      <c r="I164" t="s">
        <v>13</v>
      </c>
      <c r="J164">
        <v>7</v>
      </c>
      <c r="K164">
        <v>3</v>
      </c>
    </row>
    <row r="165" spans="1:11">
      <c r="A165">
        <v>159</v>
      </c>
      <c r="B165" t="s">
        <v>75</v>
      </c>
      <c r="C165" t="s">
        <v>12</v>
      </c>
      <c r="D165">
        <v>1</v>
      </c>
      <c r="E165">
        <v>60</v>
      </c>
      <c r="F165">
        <v>50</v>
      </c>
      <c r="G165">
        <v>48</v>
      </c>
      <c r="H165">
        <v>55</v>
      </c>
      <c r="I165" t="s">
        <v>16</v>
      </c>
      <c r="J165">
        <v>8</v>
      </c>
      <c r="K165">
        <v>6</v>
      </c>
    </row>
    <row r="166" spans="1:11">
      <c r="A166">
        <v>160</v>
      </c>
      <c r="B166" t="s">
        <v>62</v>
      </c>
      <c r="C166" t="s">
        <v>15</v>
      </c>
      <c r="D166">
        <v>6</v>
      </c>
      <c r="E166">
        <v>95</v>
      </c>
      <c r="F166">
        <v>92</v>
      </c>
      <c r="G166">
        <v>93</v>
      </c>
      <c r="H166">
        <v>96</v>
      </c>
      <c r="I166" t="s">
        <v>16</v>
      </c>
      <c r="J166">
        <v>6</v>
      </c>
      <c r="K166">
        <v>2</v>
      </c>
    </row>
    <row r="167" spans="1:11">
      <c r="A167">
        <v>161</v>
      </c>
      <c r="B167" t="s">
        <v>76</v>
      </c>
      <c r="C167" t="s">
        <v>15</v>
      </c>
      <c r="D167">
        <v>3</v>
      </c>
      <c r="E167">
        <v>78</v>
      </c>
      <c r="F167">
        <v>72</v>
      </c>
      <c r="G167">
        <v>70</v>
      </c>
      <c r="H167">
        <v>75</v>
      </c>
      <c r="I167" t="s">
        <v>13</v>
      </c>
      <c r="J167">
        <v>7</v>
      </c>
      <c r="K167">
        <v>4</v>
      </c>
    </row>
    <row r="168" spans="1:11">
      <c r="A168">
        <v>162</v>
      </c>
      <c r="B168" t="s">
        <v>77</v>
      </c>
      <c r="C168" t="s">
        <v>15</v>
      </c>
      <c r="E168">
        <v>82</v>
      </c>
      <c r="F168">
        <v>78</v>
      </c>
      <c r="G168">
        <v>76</v>
      </c>
      <c r="H168">
        <v>80</v>
      </c>
      <c r="I168" t="s">
        <v>13</v>
      </c>
      <c r="J168">
        <v>7</v>
      </c>
      <c r="K168">
        <v>3</v>
      </c>
    </row>
    <row r="169" spans="1:11">
      <c r="A169">
        <v>163</v>
      </c>
      <c r="B169" t="s">
        <v>78</v>
      </c>
      <c r="C169" t="s">
        <v>12</v>
      </c>
      <c r="D169">
        <v>2</v>
      </c>
      <c r="E169">
        <v>70</v>
      </c>
      <c r="F169">
        <v>65</v>
      </c>
      <c r="G169">
        <v>60</v>
      </c>
      <c r="H169">
        <v>66</v>
      </c>
      <c r="I169" t="s">
        <v>16</v>
      </c>
      <c r="J169">
        <v>8</v>
      </c>
      <c r="K169">
        <v>5</v>
      </c>
    </row>
    <row r="170" spans="1:11">
      <c r="A170">
        <v>164</v>
      </c>
      <c r="B170" t="s">
        <v>79</v>
      </c>
      <c r="C170" t="s">
        <v>12</v>
      </c>
      <c r="D170">
        <v>3</v>
      </c>
      <c r="E170">
        <v>79</v>
      </c>
      <c r="F170">
        <v>74</v>
      </c>
      <c r="G170">
        <v>72</v>
      </c>
      <c r="H170">
        <v>77</v>
      </c>
      <c r="I170" t="s">
        <v>13</v>
      </c>
      <c r="J170">
        <v>7</v>
      </c>
    </row>
    <row r="171" spans="1:11">
      <c r="A171">
        <v>165</v>
      </c>
      <c r="B171" t="s">
        <v>80</v>
      </c>
      <c r="C171" t="s">
        <v>15</v>
      </c>
      <c r="D171">
        <v>5</v>
      </c>
      <c r="E171">
        <v>91</v>
      </c>
      <c r="F171">
        <v>87</v>
      </c>
      <c r="G171">
        <v>88</v>
      </c>
      <c r="H171">
        <v>90</v>
      </c>
      <c r="I171" t="s">
        <v>13</v>
      </c>
      <c r="J171">
        <v>6</v>
      </c>
      <c r="K171">
        <v>2</v>
      </c>
    </row>
    <row r="172" spans="1:11">
      <c r="A172">
        <v>166</v>
      </c>
      <c r="B172" t="s">
        <v>81</v>
      </c>
      <c r="C172" t="s">
        <v>12</v>
      </c>
      <c r="D172">
        <v>4</v>
      </c>
      <c r="E172">
        <v>86</v>
      </c>
      <c r="F172">
        <v>82</v>
      </c>
      <c r="G172">
        <v>80</v>
      </c>
      <c r="H172">
        <v>84</v>
      </c>
      <c r="I172" t="s">
        <v>16</v>
      </c>
      <c r="J172">
        <v>7</v>
      </c>
      <c r="K172">
        <v>3</v>
      </c>
    </row>
    <row r="173" spans="1:11">
      <c r="A173">
        <v>167</v>
      </c>
      <c r="B173" t="s">
        <v>58</v>
      </c>
      <c r="C173" t="s">
        <v>15</v>
      </c>
      <c r="D173">
        <v>3</v>
      </c>
      <c r="E173">
        <v>78</v>
      </c>
      <c r="F173">
        <v>72</v>
      </c>
      <c r="H173">
        <v>75</v>
      </c>
      <c r="I173" t="s">
        <v>13</v>
      </c>
      <c r="J173">
        <v>7</v>
      </c>
      <c r="K173">
        <v>4</v>
      </c>
    </row>
    <row r="174" spans="1:11">
      <c r="A174">
        <v>168</v>
      </c>
      <c r="B174" t="s">
        <v>82</v>
      </c>
      <c r="C174" t="s">
        <v>12</v>
      </c>
      <c r="D174">
        <v>6</v>
      </c>
      <c r="E174">
        <v>94</v>
      </c>
      <c r="F174">
        <v>91</v>
      </c>
      <c r="G174">
        <v>90</v>
      </c>
      <c r="H174">
        <v>93</v>
      </c>
      <c r="I174" t="s">
        <v>16</v>
      </c>
      <c r="J174">
        <v>6</v>
      </c>
      <c r="K174">
        <v>2</v>
      </c>
    </row>
    <row r="175" spans="1:11">
      <c r="A175">
        <v>169</v>
      </c>
      <c r="B175" t="s">
        <v>83</v>
      </c>
      <c r="C175" t="s">
        <v>15</v>
      </c>
      <c r="D175">
        <v>2</v>
      </c>
      <c r="E175">
        <v>72</v>
      </c>
      <c r="F175">
        <v>65</v>
      </c>
      <c r="G175">
        <v>63</v>
      </c>
      <c r="H175">
        <v>68</v>
      </c>
      <c r="I175" t="s">
        <v>13</v>
      </c>
      <c r="J175">
        <v>8</v>
      </c>
      <c r="K175">
        <v>5</v>
      </c>
    </row>
    <row r="176" spans="1:11">
      <c r="A176">
        <v>170</v>
      </c>
      <c r="B176" t="s">
        <v>84</v>
      </c>
      <c r="C176" t="s">
        <v>15</v>
      </c>
      <c r="D176">
        <v>5</v>
      </c>
      <c r="E176">
        <v>90</v>
      </c>
      <c r="F176">
        <v>85</v>
      </c>
      <c r="G176">
        <v>87</v>
      </c>
      <c r="H176">
        <v>89</v>
      </c>
      <c r="I176" t="s">
        <v>13</v>
      </c>
      <c r="J176">
        <v>6</v>
      </c>
      <c r="K176">
        <v>2</v>
      </c>
    </row>
    <row r="177" spans="1:11">
      <c r="A177">
        <v>171</v>
      </c>
      <c r="B177" t="s">
        <v>85</v>
      </c>
      <c r="C177" t="s">
        <v>12</v>
      </c>
      <c r="D177">
        <v>3</v>
      </c>
      <c r="E177">
        <v>80</v>
      </c>
      <c r="F177">
        <v>75</v>
      </c>
      <c r="G177">
        <v>73</v>
      </c>
      <c r="H177">
        <v>78</v>
      </c>
      <c r="I177" t="s">
        <v>16</v>
      </c>
      <c r="J177">
        <v>7</v>
      </c>
      <c r="K177">
        <v>4</v>
      </c>
    </row>
    <row r="178" spans="1:11">
      <c r="A178">
        <v>172</v>
      </c>
      <c r="B178" t="s">
        <v>86</v>
      </c>
      <c r="C178" t="s">
        <v>15</v>
      </c>
      <c r="D178">
        <v>4</v>
      </c>
      <c r="E178">
        <v>88</v>
      </c>
      <c r="F178">
        <v>84</v>
      </c>
      <c r="G178">
        <v>82</v>
      </c>
      <c r="H178">
        <v>86</v>
      </c>
      <c r="I178" t="s">
        <v>13</v>
      </c>
      <c r="J178">
        <v>7</v>
      </c>
      <c r="K178">
        <v>3</v>
      </c>
    </row>
    <row r="179" spans="1:11">
      <c r="A179">
        <v>173</v>
      </c>
      <c r="B179" t="s">
        <v>87</v>
      </c>
      <c r="C179" t="s">
        <v>12</v>
      </c>
      <c r="D179">
        <v>2</v>
      </c>
      <c r="E179">
        <v>68</v>
      </c>
      <c r="F179">
        <v>60</v>
      </c>
      <c r="G179">
        <v>58</v>
      </c>
      <c r="H179">
        <v>64</v>
      </c>
      <c r="I179" t="s">
        <v>16</v>
      </c>
      <c r="J179">
        <v>8</v>
      </c>
      <c r="K179">
        <v>5</v>
      </c>
    </row>
    <row r="180" spans="1:11">
      <c r="A180">
        <v>174</v>
      </c>
      <c r="B180" t="s">
        <v>88</v>
      </c>
      <c r="C180" t="s">
        <v>15</v>
      </c>
      <c r="D180">
        <v>5</v>
      </c>
      <c r="E180">
        <v>92</v>
      </c>
      <c r="F180">
        <v>89</v>
      </c>
      <c r="G180">
        <v>90</v>
      </c>
      <c r="H180">
        <v>93</v>
      </c>
      <c r="I180" t="s">
        <v>13</v>
      </c>
      <c r="J180">
        <v>6</v>
      </c>
      <c r="K180">
        <v>2</v>
      </c>
    </row>
    <row r="181" spans="1:11">
      <c r="A181">
        <v>175</v>
      </c>
      <c r="B181" t="s">
        <v>89</v>
      </c>
      <c r="C181" t="s">
        <v>12</v>
      </c>
      <c r="D181">
        <v>1</v>
      </c>
      <c r="E181">
        <v>62</v>
      </c>
      <c r="F181">
        <v>52</v>
      </c>
      <c r="G181">
        <v>50</v>
      </c>
      <c r="H181">
        <v>57</v>
      </c>
      <c r="I181" t="s">
        <v>16</v>
      </c>
      <c r="J181">
        <v>8</v>
      </c>
      <c r="K181">
        <v>6</v>
      </c>
    </row>
    <row r="182" spans="1:11">
      <c r="A182">
        <v>176</v>
      </c>
      <c r="B182" t="s">
        <v>90</v>
      </c>
      <c r="C182" t="s">
        <v>15</v>
      </c>
      <c r="D182">
        <v>6</v>
      </c>
      <c r="E182">
        <v>96</v>
      </c>
      <c r="F182">
        <v>93</v>
      </c>
      <c r="G182">
        <v>94</v>
      </c>
      <c r="H182">
        <v>97</v>
      </c>
      <c r="I182" t="s">
        <v>16</v>
      </c>
      <c r="J182">
        <v>6</v>
      </c>
      <c r="K182">
        <v>2</v>
      </c>
    </row>
    <row r="183" spans="1:11">
      <c r="A183">
        <v>177</v>
      </c>
      <c r="B183" t="s">
        <v>91</v>
      </c>
      <c r="C183" t="s">
        <v>15</v>
      </c>
      <c r="D183">
        <v>3</v>
      </c>
      <c r="E183">
        <v>79</v>
      </c>
      <c r="F183">
        <v>74</v>
      </c>
      <c r="G183">
        <v>72</v>
      </c>
      <c r="H183">
        <v>76</v>
      </c>
      <c r="I183" t="s">
        <v>13</v>
      </c>
      <c r="J183">
        <v>7</v>
      </c>
      <c r="K183">
        <v>4</v>
      </c>
    </row>
    <row r="184" spans="1:11">
      <c r="A184">
        <v>178</v>
      </c>
      <c r="B184" t="s">
        <v>92</v>
      </c>
      <c r="C184" t="s">
        <v>12</v>
      </c>
      <c r="D184">
        <v>2</v>
      </c>
      <c r="E184">
        <v>70</v>
      </c>
      <c r="F184">
        <v>63</v>
      </c>
      <c r="G184">
        <v>60</v>
      </c>
      <c r="H184">
        <v>66</v>
      </c>
      <c r="I184" t="s">
        <v>13</v>
      </c>
      <c r="J184">
        <v>8</v>
      </c>
      <c r="K184">
        <v>5</v>
      </c>
    </row>
    <row r="185" spans="1:11">
      <c r="A185">
        <v>179</v>
      </c>
      <c r="B185" t="s">
        <v>93</v>
      </c>
      <c r="C185" t="s">
        <v>15</v>
      </c>
      <c r="D185">
        <v>4</v>
      </c>
      <c r="E185">
        <v>87</v>
      </c>
      <c r="F185">
        <v>83</v>
      </c>
      <c r="G185">
        <v>81</v>
      </c>
      <c r="H185">
        <v>85</v>
      </c>
      <c r="I185" t="s">
        <v>16</v>
      </c>
      <c r="J185">
        <v>6</v>
      </c>
      <c r="K185">
        <v>3</v>
      </c>
    </row>
    <row r="186" spans="1:11">
      <c r="A186">
        <v>180</v>
      </c>
      <c r="B186" t="s">
        <v>94</v>
      </c>
      <c r="C186" t="s">
        <v>12</v>
      </c>
      <c r="D186">
        <v>3</v>
      </c>
      <c r="E186">
        <v>82</v>
      </c>
      <c r="F186">
        <v>76</v>
      </c>
      <c r="G186">
        <v>75</v>
      </c>
      <c r="H186">
        <v>79</v>
      </c>
      <c r="I186" t="s">
        <v>16</v>
      </c>
      <c r="J186">
        <v>7</v>
      </c>
      <c r="K186">
        <v>4</v>
      </c>
    </row>
    <row r="187" spans="1:11">
      <c r="A187">
        <v>181</v>
      </c>
      <c r="B187" t="s">
        <v>95</v>
      </c>
      <c r="C187" t="s">
        <v>15</v>
      </c>
      <c r="D187">
        <v>5</v>
      </c>
      <c r="E187">
        <v>91</v>
      </c>
      <c r="F187">
        <v>87</v>
      </c>
      <c r="G187">
        <v>89</v>
      </c>
      <c r="H187">
        <v>90</v>
      </c>
      <c r="I187" t="s">
        <v>13</v>
      </c>
      <c r="J187">
        <v>6</v>
      </c>
      <c r="K187">
        <v>2</v>
      </c>
    </row>
    <row r="188" spans="1:11">
      <c r="A188">
        <v>182</v>
      </c>
      <c r="B188" t="s">
        <v>96</v>
      </c>
      <c r="C188" t="s">
        <v>12</v>
      </c>
      <c r="D188">
        <v>2</v>
      </c>
      <c r="E188">
        <v>68</v>
      </c>
      <c r="F188">
        <v>60</v>
      </c>
      <c r="G188">
        <v>58</v>
      </c>
      <c r="H188">
        <v>63</v>
      </c>
      <c r="I188" t="s">
        <v>16</v>
      </c>
      <c r="J188">
        <v>8</v>
      </c>
      <c r="K188">
        <v>5</v>
      </c>
    </row>
    <row r="189" spans="1:11">
      <c r="A189">
        <v>183</v>
      </c>
      <c r="B189" t="s">
        <v>97</v>
      </c>
      <c r="C189" t="s">
        <v>12</v>
      </c>
      <c r="D189">
        <v>6</v>
      </c>
      <c r="E189">
        <v>94</v>
      </c>
      <c r="F189">
        <v>92</v>
      </c>
      <c r="G189">
        <v>91</v>
      </c>
      <c r="H189">
        <v>95</v>
      </c>
      <c r="I189" t="s">
        <v>16</v>
      </c>
      <c r="J189">
        <v>6</v>
      </c>
      <c r="K189">
        <v>2</v>
      </c>
    </row>
    <row r="190" spans="1:11">
      <c r="A190">
        <v>184</v>
      </c>
      <c r="B190" t="s">
        <v>98</v>
      </c>
      <c r="C190" t="s">
        <v>15</v>
      </c>
      <c r="D190">
        <v>3</v>
      </c>
      <c r="E190">
        <v>78</v>
      </c>
      <c r="F190">
        <v>72</v>
      </c>
      <c r="G190">
        <v>70</v>
      </c>
      <c r="H190">
        <v>75</v>
      </c>
      <c r="I190" t="s">
        <v>13</v>
      </c>
      <c r="J190">
        <v>7</v>
      </c>
      <c r="K190">
        <v>4</v>
      </c>
    </row>
    <row r="191" spans="1:11">
      <c r="A191">
        <v>185</v>
      </c>
      <c r="B191" t="s">
        <v>99</v>
      </c>
      <c r="C191" t="s">
        <v>12</v>
      </c>
      <c r="D191">
        <v>4</v>
      </c>
      <c r="E191">
        <v>85</v>
      </c>
      <c r="F191">
        <v>80</v>
      </c>
      <c r="G191">
        <v>82</v>
      </c>
      <c r="H191">
        <v>84</v>
      </c>
      <c r="I191" t="s">
        <v>13</v>
      </c>
      <c r="J191">
        <v>7</v>
      </c>
      <c r="K191">
        <v>3</v>
      </c>
    </row>
    <row r="192" spans="1:11">
      <c r="A192">
        <v>186</v>
      </c>
      <c r="B192" t="s">
        <v>100</v>
      </c>
      <c r="C192" t="s">
        <v>15</v>
      </c>
      <c r="D192">
        <v>5</v>
      </c>
      <c r="E192">
        <v>90</v>
      </c>
      <c r="F192">
        <v>86</v>
      </c>
      <c r="G192">
        <v>88</v>
      </c>
      <c r="H192">
        <v>89</v>
      </c>
      <c r="I192" t="s">
        <v>13</v>
      </c>
      <c r="J192">
        <v>6</v>
      </c>
      <c r="K192">
        <v>2</v>
      </c>
    </row>
    <row r="193" spans="1:11">
      <c r="A193">
        <v>187</v>
      </c>
      <c r="B193" t="s">
        <v>101</v>
      </c>
      <c r="C193" t="s">
        <v>12</v>
      </c>
      <c r="D193">
        <v>2</v>
      </c>
      <c r="E193">
        <v>70</v>
      </c>
      <c r="F193">
        <v>62</v>
      </c>
      <c r="G193">
        <v>60</v>
      </c>
      <c r="H193">
        <v>66</v>
      </c>
      <c r="I193" t="s">
        <v>16</v>
      </c>
      <c r="J193">
        <v>8</v>
      </c>
      <c r="K193">
        <v>5</v>
      </c>
    </row>
    <row r="194" spans="1:11">
      <c r="A194">
        <v>188</v>
      </c>
      <c r="B194" t="s">
        <v>102</v>
      </c>
      <c r="C194" t="s">
        <v>15</v>
      </c>
      <c r="D194">
        <v>4</v>
      </c>
      <c r="E194">
        <v>88</v>
      </c>
      <c r="F194">
        <v>84</v>
      </c>
      <c r="G194">
        <v>83</v>
      </c>
      <c r="H194">
        <v>86</v>
      </c>
      <c r="I194" t="s">
        <v>13</v>
      </c>
      <c r="J194">
        <v>7</v>
      </c>
      <c r="K194">
        <v>3</v>
      </c>
    </row>
    <row r="195" spans="1:11">
      <c r="A195">
        <v>189</v>
      </c>
      <c r="B195" t="s">
        <v>103</v>
      </c>
      <c r="C195" t="s">
        <v>12</v>
      </c>
      <c r="D195">
        <v>3</v>
      </c>
      <c r="E195">
        <v>82</v>
      </c>
      <c r="F195">
        <v>76</v>
      </c>
      <c r="G195">
        <v>75</v>
      </c>
      <c r="H195">
        <v>80</v>
      </c>
      <c r="I195" t="s">
        <v>16</v>
      </c>
      <c r="J195">
        <v>7</v>
      </c>
      <c r="K195">
        <v>4</v>
      </c>
    </row>
    <row r="196" spans="1:11">
      <c r="A196">
        <v>190</v>
      </c>
      <c r="B196" t="s">
        <v>104</v>
      </c>
      <c r="C196" t="s">
        <v>15</v>
      </c>
      <c r="D196">
        <v>5</v>
      </c>
      <c r="E196">
        <v>91</v>
      </c>
      <c r="F196">
        <v>87</v>
      </c>
      <c r="G196">
        <v>88</v>
      </c>
      <c r="H196">
        <v>90</v>
      </c>
      <c r="I196" t="s">
        <v>13</v>
      </c>
      <c r="J196">
        <v>6</v>
      </c>
      <c r="K196">
        <v>2</v>
      </c>
    </row>
    <row r="197" spans="1:11">
      <c r="A197">
        <v>191</v>
      </c>
      <c r="B197" t="s">
        <v>105</v>
      </c>
      <c r="C197" t="s">
        <v>12</v>
      </c>
      <c r="D197">
        <v>2</v>
      </c>
      <c r="E197">
        <v>68</v>
      </c>
      <c r="F197">
        <v>60</v>
      </c>
      <c r="G197">
        <v>58</v>
      </c>
      <c r="H197">
        <v>64</v>
      </c>
      <c r="I197" t="s">
        <v>16</v>
      </c>
      <c r="J197">
        <v>8</v>
      </c>
      <c r="K197">
        <v>5</v>
      </c>
    </row>
    <row r="198" spans="1:11">
      <c r="A198">
        <v>192</v>
      </c>
      <c r="B198" t="s">
        <v>106</v>
      </c>
      <c r="C198" t="s">
        <v>15</v>
      </c>
      <c r="D198">
        <v>4</v>
      </c>
      <c r="E198">
        <v>85</v>
      </c>
      <c r="F198">
        <v>81</v>
      </c>
      <c r="G198">
        <v>82</v>
      </c>
      <c r="H198">
        <v>84</v>
      </c>
      <c r="I198" t="s">
        <v>13</v>
      </c>
      <c r="J198">
        <v>7</v>
      </c>
      <c r="K198">
        <v>3</v>
      </c>
    </row>
    <row r="199" spans="1:11">
      <c r="A199">
        <v>193</v>
      </c>
      <c r="B199" t="s">
        <v>107</v>
      </c>
      <c r="C199" t="s">
        <v>12</v>
      </c>
      <c r="D199">
        <v>6</v>
      </c>
      <c r="E199">
        <v>94</v>
      </c>
      <c r="F199">
        <v>91</v>
      </c>
      <c r="G199">
        <v>90</v>
      </c>
      <c r="H199">
        <v>92</v>
      </c>
      <c r="I199" t="s">
        <v>16</v>
      </c>
      <c r="J199">
        <v>6</v>
      </c>
      <c r="K199">
        <v>2</v>
      </c>
    </row>
    <row r="200" spans="1:11">
      <c r="A200">
        <v>194</v>
      </c>
      <c r="B200" t="s">
        <v>108</v>
      </c>
      <c r="C200" t="s">
        <v>15</v>
      </c>
      <c r="D200">
        <v>3</v>
      </c>
      <c r="E200">
        <v>79</v>
      </c>
      <c r="F200">
        <v>74</v>
      </c>
      <c r="G200">
        <v>72</v>
      </c>
      <c r="H200">
        <v>77</v>
      </c>
      <c r="I200" t="s">
        <v>13</v>
      </c>
      <c r="J200">
        <v>7</v>
      </c>
      <c r="K200">
        <v>4</v>
      </c>
    </row>
    <row r="201" spans="1:11">
      <c r="A201">
        <v>195</v>
      </c>
      <c r="B201" t="s">
        <v>109</v>
      </c>
      <c r="C201" t="s">
        <v>12</v>
      </c>
      <c r="D201">
        <v>2</v>
      </c>
      <c r="E201">
        <v>72</v>
      </c>
      <c r="F201">
        <v>65</v>
      </c>
      <c r="G201">
        <v>64</v>
      </c>
      <c r="H201">
        <v>68</v>
      </c>
      <c r="I201" t="s">
        <v>16</v>
      </c>
      <c r="J201">
        <v>8</v>
      </c>
      <c r="K201">
        <v>5</v>
      </c>
    </row>
    <row r="202" spans="1:11">
      <c r="A202">
        <v>196</v>
      </c>
      <c r="B202" t="s">
        <v>110</v>
      </c>
      <c r="C202" t="s">
        <v>15</v>
      </c>
      <c r="D202">
        <v>5</v>
      </c>
      <c r="E202">
        <v>90</v>
      </c>
      <c r="F202">
        <v>86</v>
      </c>
      <c r="G202">
        <v>88</v>
      </c>
      <c r="H202">
        <v>89</v>
      </c>
      <c r="I202" t="s">
        <v>13</v>
      </c>
      <c r="J202">
        <v>6</v>
      </c>
      <c r="K202">
        <v>2</v>
      </c>
    </row>
    <row r="203" spans="1:11">
      <c r="A203">
        <v>197</v>
      </c>
      <c r="B203" t="s">
        <v>111</v>
      </c>
      <c r="C203" t="s">
        <v>12</v>
      </c>
      <c r="D203">
        <v>3</v>
      </c>
      <c r="E203">
        <v>80</v>
      </c>
      <c r="F203">
        <v>75</v>
      </c>
      <c r="G203">
        <v>73</v>
      </c>
      <c r="H203">
        <v>78</v>
      </c>
      <c r="I203" t="s">
        <v>13</v>
      </c>
      <c r="J203">
        <v>7</v>
      </c>
      <c r="K203">
        <v>4</v>
      </c>
    </row>
    <row r="204" spans="1:11">
      <c r="A204">
        <v>198</v>
      </c>
      <c r="B204" t="s">
        <v>112</v>
      </c>
      <c r="C204" t="s">
        <v>15</v>
      </c>
      <c r="D204">
        <v>4</v>
      </c>
      <c r="E204">
        <v>87</v>
      </c>
      <c r="F204">
        <v>83</v>
      </c>
      <c r="G204">
        <v>81</v>
      </c>
      <c r="H204">
        <v>85</v>
      </c>
      <c r="I204" t="s">
        <v>16</v>
      </c>
      <c r="J204">
        <v>6</v>
      </c>
      <c r="K204">
        <v>3</v>
      </c>
    </row>
    <row r="205" spans="1:11">
      <c r="A205">
        <v>199</v>
      </c>
      <c r="B205" t="s">
        <v>113</v>
      </c>
      <c r="C205" t="s">
        <v>12</v>
      </c>
      <c r="D205">
        <v>1</v>
      </c>
      <c r="E205">
        <v>62</v>
      </c>
      <c r="F205">
        <v>52</v>
      </c>
      <c r="G205">
        <v>50</v>
      </c>
      <c r="H205">
        <v>57</v>
      </c>
      <c r="I205" t="s">
        <v>16</v>
      </c>
      <c r="J205">
        <v>8</v>
      </c>
      <c r="K205">
        <v>6</v>
      </c>
    </row>
    <row r="206" spans="1:11">
      <c r="A206">
        <v>200</v>
      </c>
      <c r="B206" t="s">
        <v>114</v>
      </c>
      <c r="C206" t="s">
        <v>15</v>
      </c>
      <c r="D206">
        <v>5</v>
      </c>
      <c r="E206">
        <v>92</v>
      </c>
      <c r="F206">
        <v>89</v>
      </c>
      <c r="G206">
        <v>90</v>
      </c>
      <c r="H206">
        <v>93</v>
      </c>
      <c r="I206" t="s">
        <v>13</v>
      </c>
      <c r="J206">
        <v>6</v>
      </c>
      <c r="K206">
        <v>2</v>
      </c>
    </row>
    <row r="207" spans="1:11">
      <c r="A207">
        <v>170</v>
      </c>
      <c r="B207" t="s">
        <v>84</v>
      </c>
      <c r="C207" t="s">
        <v>15</v>
      </c>
      <c r="D207">
        <v>5</v>
      </c>
      <c r="E207">
        <v>90</v>
      </c>
      <c r="F207">
        <v>85</v>
      </c>
      <c r="G207">
        <v>87</v>
      </c>
      <c r="H207">
        <v>89</v>
      </c>
      <c r="I207" t="s">
        <v>13</v>
      </c>
      <c r="J207">
        <v>6</v>
      </c>
      <c r="K207">
        <v>2</v>
      </c>
    </row>
    <row r="208" spans="1:11">
      <c r="A208">
        <v>185</v>
      </c>
      <c r="B208" t="s">
        <v>99</v>
      </c>
      <c r="C208" t="s">
        <v>12</v>
      </c>
      <c r="D208">
        <v>4</v>
      </c>
      <c r="E208">
        <v>85</v>
      </c>
      <c r="F208">
        <v>80</v>
      </c>
      <c r="G208">
        <v>82</v>
      </c>
      <c r="H208">
        <v>84</v>
      </c>
      <c r="I208" t="s">
        <v>13</v>
      </c>
      <c r="J208">
        <v>7</v>
      </c>
      <c r="K208">
        <v>3</v>
      </c>
    </row>
    <row r="209" spans="1:11">
      <c r="A209">
        <v>201</v>
      </c>
      <c r="B209" t="s">
        <v>65</v>
      </c>
      <c r="C209" t="s">
        <v>66</v>
      </c>
      <c r="D209">
        <v>3</v>
      </c>
      <c r="E209">
        <v>85</v>
      </c>
      <c r="F209">
        <v>78</v>
      </c>
      <c r="G209">
        <v>72</v>
      </c>
      <c r="H209">
        <v>80</v>
      </c>
      <c r="I209" t="s">
        <v>67</v>
      </c>
      <c r="J209">
        <v>7</v>
      </c>
      <c r="K209">
        <v>3</v>
      </c>
    </row>
    <row r="210" spans="1:11">
      <c r="A210">
        <v>202</v>
      </c>
      <c r="B210" t="s">
        <v>115</v>
      </c>
      <c r="C210" t="s">
        <v>69</v>
      </c>
      <c r="D210">
        <v>4</v>
      </c>
      <c r="E210">
        <v>88</v>
      </c>
      <c r="F210">
        <v>82</v>
      </c>
      <c r="G210">
        <v>79</v>
      </c>
      <c r="H210">
        <v>85</v>
      </c>
      <c r="I210" t="s">
        <v>70</v>
      </c>
      <c r="J210">
        <v>7</v>
      </c>
      <c r="K210">
        <v>3</v>
      </c>
    </row>
    <row r="211" spans="1:11">
      <c r="A211">
        <v>203</v>
      </c>
      <c r="C211" t="s">
        <v>15</v>
      </c>
      <c r="D211">
        <v>5</v>
      </c>
      <c r="E211">
        <v>90</v>
      </c>
      <c r="F211">
        <v>85</v>
      </c>
      <c r="G211">
        <v>87</v>
      </c>
      <c r="H211">
        <v>89</v>
      </c>
      <c r="I211" t="s">
        <v>13</v>
      </c>
      <c r="J211">
        <v>6</v>
      </c>
      <c r="K211">
        <v>2</v>
      </c>
    </row>
    <row r="212" spans="1:11">
      <c r="A212">
        <v>204</v>
      </c>
      <c r="B212" t="s">
        <v>116</v>
      </c>
      <c r="C212" t="s">
        <v>12</v>
      </c>
      <c r="D212">
        <v>4</v>
      </c>
      <c r="E212">
        <v>86</v>
      </c>
      <c r="F212">
        <v>82</v>
      </c>
      <c r="G212">
        <v>80</v>
      </c>
      <c r="H212">
        <v>84</v>
      </c>
      <c r="I212" t="s">
        <v>13</v>
      </c>
      <c r="J212">
        <v>7</v>
      </c>
      <c r="K212">
        <v>3</v>
      </c>
    </row>
    <row r="213" spans="1:11">
      <c r="A213">
        <v>205</v>
      </c>
      <c r="B213" t="s">
        <v>117</v>
      </c>
      <c r="C213" t="s">
        <v>15</v>
      </c>
      <c r="D213">
        <v>5</v>
      </c>
      <c r="E213">
        <v>91</v>
      </c>
      <c r="F213">
        <v>87</v>
      </c>
      <c r="G213">
        <v>88</v>
      </c>
      <c r="H213">
        <v>90</v>
      </c>
      <c r="I213" t="s">
        <v>13</v>
      </c>
      <c r="J213">
        <v>6</v>
      </c>
      <c r="K213">
        <v>2</v>
      </c>
    </row>
    <row r="214" spans="1:11">
      <c r="A214">
        <v>206</v>
      </c>
      <c r="B214" t="s">
        <v>118</v>
      </c>
      <c r="C214" t="s">
        <v>12</v>
      </c>
      <c r="D214">
        <v>3</v>
      </c>
      <c r="E214">
        <v>80</v>
      </c>
      <c r="F214">
        <v>75</v>
      </c>
      <c r="G214">
        <v>73</v>
      </c>
      <c r="H214">
        <v>78</v>
      </c>
      <c r="I214" t="s">
        <v>16</v>
      </c>
      <c r="J214">
        <v>7</v>
      </c>
      <c r="K214">
        <v>4</v>
      </c>
    </row>
    <row r="215" spans="1:11">
      <c r="A215">
        <v>207</v>
      </c>
      <c r="B215" t="s">
        <v>119</v>
      </c>
      <c r="C215" t="s">
        <v>15</v>
      </c>
      <c r="D215">
        <v>4</v>
      </c>
      <c r="E215">
        <v>87</v>
      </c>
      <c r="F215">
        <v>83</v>
      </c>
      <c r="G215">
        <v>81</v>
      </c>
      <c r="H215">
        <v>85</v>
      </c>
      <c r="I215" t="s">
        <v>13</v>
      </c>
      <c r="J215">
        <v>6</v>
      </c>
      <c r="K215">
        <v>3</v>
      </c>
    </row>
    <row r="216" spans="1:11">
      <c r="A216">
        <v>208</v>
      </c>
      <c r="B216" t="s">
        <v>120</v>
      </c>
      <c r="C216" t="s">
        <v>12</v>
      </c>
      <c r="D216">
        <v>2</v>
      </c>
      <c r="E216">
        <v>70</v>
      </c>
      <c r="F216">
        <v>62</v>
      </c>
      <c r="G216">
        <v>60</v>
      </c>
      <c r="H216">
        <v>66</v>
      </c>
      <c r="I216" t="s">
        <v>16</v>
      </c>
      <c r="J216">
        <v>8</v>
      </c>
      <c r="K216">
        <v>5</v>
      </c>
    </row>
    <row r="217" spans="1:11">
      <c r="A217">
        <v>209</v>
      </c>
      <c r="B217" t="s">
        <v>121</v>
      </c>
      <c r="C217" t="s">
        <v>15</v>
      </c>
      <c r="D217">
        <v>5</v>
      </c>
      <c r="E217">
        <v>92</v>
      </c>
      <c r="F217">
        <v>88</v>
      </c>
      <c r="G217">
        <v>90</v>
      </c>
      <c r="H217">
        <v>91</v>
      </c>
      <c r="I217" t="s">
        <v>13</v>
      </c>
      <c r="J217">
        <v>6</v>
      </c>
      <c r="K217">
        <v>2</v>
      </c>
    </row>
    <row r="218" spans="1:11">
      <c r="A218">
        <v>210</v>
      </c>
      <c r="B218" t="s">
        <v>122</v>
      </c>
      <c r="C218" t="s">
        <v>12</v>
      </c>
      <c r="D218">
        <v>3</v>
      </c>
      <c r="E218">
        <v>78</v>
      </c>
      <c r="F218">
        <v>72</v>
      </c>
      <c r="G218">
        <v>70</v>
      </c>
      <c r="H218">
        <v>75</v>
      </c>
      <c r="I218" t="s">
        <v>13</v>
      </c>
      <c r="J218">
        <v>7</v>
      </c>
      <c r="K218">
        <v>4</v>
      </c>
    </row>
    <row r="219" spans="1:11">
      <c r="A219">
        <v>211</v>
      </c>
      <c r="B219" t="s">
        <v>123</v>
      </c>
      <c r="C219" t="s">
        <v>15</v>
      </c>
      <c r="D219">
        <v>4</v>
      </c>
      <c r="E219">
        <v>85</v>
      </c>
      <c r="F219">
        <v>80</v>
      </c>
      <c r="G219">
        <v>82</v>
      </c>
      <c r="H219">
        <v>84</v>
      </c>
      <c r="I219" t="s">
        <v>13</v>
      </c>
      <c r="J219">
        <v>7</v>
      </c>
      <c r="K219">
        <v>3</v>
      </c>
    </row>
    <row r="220" spans="1:11">
      <c r="A220">
        <v>212</v>
      </c>
      <c r="B220" t="s">
        <v>124</v>
      </c>
      <c r="C220" t="s">
        <v>12</v>
      </c>
      <c r="D220">
        <v>6</v>
      </c>
      <c r="E220">
        <v>94</v>
      </c>
      <c r="F220">
        <v>91</v>
      </c>
      <c r="G220">
        <v>90</v>
      </c>
      <c r="H220">
        <v>92</v>
      </c>
      <c r="I220" t="s">
        <v>16</v>
      </c>
      <c r="J220">
        <v>6</v>
      </c>
      <c r="K220">
        <v>2</v>
      </c>
    </row>
    <row r="221" spans="1:11">
      <c r="A221">
        <v>213</v>
      </c>
      <c r="B221" t="s">
        <v>54</v>
      </c>
      <c r="C221" t="s">
        <v>15</v>
      </c>
      <c r="D221">
        <v>3</v>
      </c>
      <c r="E221">
        <v>79</v>
      </c>
      <c r="F221">
        <v>74</v>
      </c>
      <c r="G221">
        <v>72</v>
      </c>
      <c r="H221">
        <v>76</v>
      </c>
      <c r="I221" t="s">
        <v>13</v>
      </c>
      <c r="J221">
        <v>7</v>
      </c>
      <c r="K221">
        <v>4</v>
      </c>
    </row>
    <row r="222" spans="1:11">
      <c r="A222">
        <v>214</v>
      </c>
      <c r="B222" t="s">
        <v>125</v>
      </c>
      <c r="C222" t="s">
        <v>12</v>
      </c>
      <c r="D222">
        <v>2</v>
      </c>
      <c r="E222">
        <v>72</v>
      </c>
      <c r="F222">
        <v>65</v>
      </c>
      <c r="G222">
        <v>64</v>
      </c>
      <c r="H222">
        <v>68</v>
      </c>
      <c r="I222" t="s">
        <v>16</v>
      </c>
      <c r="J222">
        <v>8</v>
      </c>
      <c r="K222">
        <v>5</v>
      </c>
    </row>
    <row r="223" spans="1:11">
      <c r="A223">
        <v>215</v>
      </c>
      <c r="B223" t="s">
        <v>126</v>
      </c>
      <c r="C223" t="s">
        <v>12</v>
      </c>
      <c r="D223">
        <v>5</v>
      </c>
      <c r="E223">
        <v>90</v>
      </c>
      <c r="F223">
        <v>86</v>
      </c>
      <c r="G223">
        <v>88</v>
      </c>
      <c r="H223">
        <v>89</v>
      </c>
      <c r="I223" t="s">
        <v>13</v>
      </c>
      <c r="J223">
        <v>6</v>
      </c>
      <c r="K223">
        <v>2</v>
      </c>
    </row>
    <row r="224" spans="1:11">
      <c r="A224">
        <v>216</v>
      </c>
      <c r="B224" t="s">
        <v>127</v>
      </c>
      <c r="C224" t="s">
        <v>15</v>
      </c>
      <c r="D224">
        <v>4</v>
      </c>
      <c r="E224">
        <v>87</v>
      </c>
      <c r="F224">
        <v>83</v>
      </c>
      <c r="G224">
        <v>81</v>
      </c>
      <c r="H224">
        <v>85</v>
      </c>
      <c r="I224" t="s">
        <v>13</v>
      </c>
      <c r="J224">
        <v>6</v>
      </c>
      <c r="K224">
        <v>3</v>
      </c>
    </row>
    <row r="225" spans="1:11">
      <c r="A225">
        <v>217</v>
      </c>
      <c r="B225" t="s">
        <v>128</v>
      </c>
      <c r="C225" t="s">
        <v>12</v>
      </c>
      <c r="D225">
        <v>3</v>
      </c>
      <c r="E225">
        <v>80</v>
      </c>
      <c r="F225">
        <v>75</v>
      </c>
      <c r="G225">
        <v>73</v>
      </c>
      <c r="H225">
        <v>78</v>
      </c>
      <c r="I225" t="s">
        <v>16</v>
      </c>
      <c r="J225">
        <v>7</v>
      </c>
      <c r="K225">
        <v>4</v>
      </c>
    </row>
    <row r="226" spans="1:11">
      <c r="A226">
        <v>218</v>
      </c>
      <c r="B226" t="s">
        <v>129</v>
      </c>
      <c r="C226" t="s">
        <v>15</v>
      </c>
      <c r="D226">
        <v>5</v>
      </c>
      <c r="E226">
        <v>91</v>
      </c>
      <c r="F226">
        <v>87</v>
      </c>
      <c r="G226">
        <v>88</v>
      </c>
      <c r="H226">
        <v>90</v>
      </c>
      <c r="I226" t="s">
        <v>13</v>
      </c>
      <c r="J226">
        <v>6</v>
      </c>
      <c r="K226">
        <v>2</v>
      </c>
    </row>
    <row r="227" spans="1:11">
      <c r="A227">
        <v>219</v>
      </c>
      <c r="B227" t="s">
        <v>130</v>
      </c>
      <c r="C227" t="s">
        <v>12</v>
      </c>
      <c r="D227">
        <v>2</v>
      </c>
      <c r="E227">
        <v>68</v>
      </c>
      <c r="F227">
        <v>60</v>
      </c>
      <c r="G227">
        <v>58</v>
      </c>
      <c r="H227">
        <v>64</v>
      </c>
      <c r="I227" t="s">
        <v>16</v>
      </c>
      <c r="J227">
        <v>8</v>
      </c>
      <c r="K227">
        <v>5</v>
      </c>
    </row>
    <row r="228" spans="1:11">
      <c r="A228">
        <v>220</v>
      </c>
      <c r="B228" t="s">
        <v>131</v>
      </c>
      <c r="C228" t="s">
        <v>15</v>
      </c>
      <c r="D228">
        <v>4</v>
      </c>
      <c r="E228">
        <v>85</v>
      </c>
      <c r="F228">
        <v>81</v>
      </c>
      <c r="G228">
        <v>82</v>
      </c>
      <c r="H228">
        <v>84</v>
      </c>
      <c r="I228" t="s">
        <v>13</v>
      </c>
      <c r="J228">
        <v>7</v>
      </c>
      <c r="K228">
        <v>3</v>
      </c>
    </row>
    <row r="229" spans="1:11">
      <c r="A229">
        <v>221</v>
      </c>
      <c r="B229" t="s">
        <v>132</v>
      </c>
      <c r="C229" t="s">
        <v>12</v>
      </c>
      <c r="D229">
        <v>6</v>
      </c>
      <c r="E229">
        <v>94</v>
      </c>
      <c r="F229">
        <v>92</v>
      </c>
      <c r="G229">
        <v>91</v>
      </c>
      <c r="H229">
        <v>95</v>
      </c>
      <c r="I229" t="s">
        <v>16</v>
      </c>
      <c r="J229">
        <v>6</v>
      </c>
      <c r="K229">
        <v>2</v>
      </c>
    </row>
    <row r="230" spans="1:11">
      <c r="A230">
        <v>222</v>
      </c>
      <c r="B230" t="s">
        <v>133</v>
      </c>
      <c r="C230" t="s">
        <v>15</v>
      </c>
      <c r="D230">
        <v>3</v>
      </c>
      <c r="E230">
        <v>78</v>
      </c>
      <c r="F230">
        <v>72</v>
      </c>
      <c r="G230">
        <v>70</v>
      </c>
      <c r="H230">
        <v>75</v>
      </c>
      <c r="I230" t="s">
        <v>13</v>
      </c>
      <c r="J230">
        <v>7</v>
      </c>
      <c r="K230">
        <v>4</v>
      </c>
    </row>
    <row r="231" spans="1:11">
      <c r="A231">
        <v>223</v>
      </c>
      <c r="B231" t="s">
        <v>134</v>
      </c>
      <c r="C231" t="s">
        <v>12</v>
      </c>
      <c r="D231">
        <v>4</v>
      </c>
      <c r="E231">
        <v>85</v>
      </c>
      <c r="F231">
        <v>80</v>
      </c>
      <c r="G231">
        <v>82</v>
      </c>
      <c r="H231">
        <v>84</v>
      </c>
      <c r="I231" t="s">
        <v>13</v>
      </c>
      <c r="J231">
        <v>7</v>
      </c>
      <c r="K231">
        <v>3</v>
      </c>
    </row>
    <row r="232" spans="1:11">
      <c r="A232">
        <v>224</v>
      </c>
      <c r="B232" t="s">
        <v>28</v>
      </c>
      <c r="C232" t="s">
        <v>15</v>
      </c>
      <c r="D232">
        <v>5</v>
      </c>
      <c r="E232">
        <v>90</v>
      </c>
      <c r="F232">
        <v>86</v>
      </c>
      <c r="G232">
        <v>88</v>
      </c>
      <c r="H232">
        <v>89</v>
      </c>
      <c r="I232" t="s">
        <v>13</v>
      </c>
      <c r="J232">
        <v>6</v>
      </c>
      <c r="K232">
        <v>2</v>
      </c>
    </row>
    <row r="233" spans="1:11">
      <c r="A233">
        <v>225</v>
      </c>
      <c r="B233" t="s">
        <v>135</v>
      </c>
      <c r="C233" t="s">
        <v>12</v>
      </c>
      <c r="D233">
        <v>2</v>
      </c>
      <c r="E233">
        <v>70</v>
      </c>
      <c r="F233">
        <v>62</v>
      </c>
      <c r="G233">
        <v>60</v>
      </c>
      <c r="H233">
        <v>66</v>
      </c>
      <c r="I233" t="s">
        <v>16</v>
      </c>
      <c r="J233">
        <v>8</v>
      </c>
      <c r="K233">
        <v>5</v>
      </c>
    </row>
    <row r="234" spans="1:11">
      <c r="A234">
        <v>226</v>
      </c>
      <c r="B234" t="s">
        <v>136</v>
      </c>
      <c r="C234" t="s">
        <v>15</v>
      </c>
      <c r="D234">
        <v>4</v>
      </c>
      <c r="E234">
        <v>88</v>
      </c>
      <c r="F234">
        <v>84</v>
      </c>
      <c r="G234">
        <v>83</v>
      </c>
      <c r="H234">
        <v>86</v>
      </c>
      <c r="I234" t="s">
        <v>13</v>
      </c>
      <c r="J234">
        <v>7</v>
      </c>
      <c r="K234">
        <v>3</v>
      </c>
    </row>
    <row r="235" spans="1:11">
      <c r="A235">
        <v>227</v>
      </c>
      <c r="B235" t="s">
        <v>137</v>
      </c>
      <c r="C235" t="s">
        <v>12</v>
      </c>
      <c r="D235">
        <v>3</v>
      </c>
      <c r="E235">
        <v>82</v>
      </c>
      <c r="F235">
        <v>76</v>
      </c>
      <c r="G235">
        <v>75</v>
      </c>
      <c r="H235">
        <v>80</v>
      </c>
      <c r="I235" t="s">
        <v>16</v>
      </c>
      <c r="J235">
        <v>7</v>
      </c>
      <c r="K235">
        <v>4</v>
      </c>
    </row>
    <row r="236" spans="1:11">
      <c r="A236">
        <v>228</v>
      </c>
      <c r="B236" t="s">
        <v>138</v>
      </c>
      <c r="C236" t="s">
        <v>15</v>
      </c>
      <c r="D236">
        <v>5</v>
      </c>
      <c r="E236">
        <v>91</v>
      </c>
      <c r="F236">
        <v>87</v>
      </c>
      <c r="G236">
        <v>88</v>
      </c>
      <c r="H236">
        <v>90</v>
      </c>
      <c r="I236" t="s">
        <v>13</v>
      </c>
      <c r="J236">
        <v>6</v>
      </c>
      <c r="K236">
        <v>2</v>
      </c>
    </row>
    <row r="237" spans="1:11">
      <c r="A237">
        <v>229</v>
      </c>
      <c r="B237" t="s">
        <v>139</v>
      </c>
      <c r="C237" t="s">
        <v>12</v>
      </c>
      <c r="D237">
        <v>2</v>
      </c>
      <c r="E237">
        <v>68</v>
      </c>
      <c r="F237">
        <v>60</v>
      </c>
      <c r="G237">
        <v>58</v>
      </c>
      <c r="H237">
        <v>64</v>
      </c>
      <c r="I237" t="s">
        <v>16</v>
      </c>
      <c r="J237">
        <v>8</v>
      </c>
      <c r="K237">
        <v>5</v>
      </c>
    </row>
    <row r="238" spans="1:11">
      <c r="A238">
        <v>230</v>
      </c>
      <c r="B238" t="s">
        <v>140</v>
      </c>
      <c r="C238" t="s">
        <v>15</v>
      </c>
      <c r="D238">
        <v>4</v>
      </c>
      <c r="E238">
        <v>85</v>
      </c>
      <c r="F238">
        <v>81</v>
      </c>
      <c r="G238">
        <v>82</v>
      </c>
      <c r="H238">
        <v>84</v>
      </c>
      <c r="I238" t="s">
        <v>13</v>
      </c>
      <c r="J238">
        <v>7</v>
      </c>
      <c r="K238">
        <v>3</v>
      </c>
    </row>
    <row r="239" spans="1:11">
      <c r="A239">
        <v>231</v>
      </c>
      <c r="B239" t="s">
        <v>141</v>
      </c>
      <c r="C239" t="s">
        <v>12</v>
      </c>
      <c r="D239">
        <v>6</v>
      </c>
      <c r="E239">
        <v>94</v>
      </c>
      <c r="F239">
        <v>91</v>
      </c>
      <c r="G239">
        <v>90</v>
      </c>
      <c r="H239">
        <v>92</v>
      </c>
      <c r="I239" t="s">
        <v>16</v>
      </c>
      <c r="J239">
        <v>6</v>
      </c>
      <c r="K239">
        <v>2</v>
      </c>
    </row>
    <row r="240" spans="1:11">
      <c r="A240">
        <v>232</v>
      </c>
      <c r="B240" t="s">
        <v>142</v>
      </c>
      <c r="C240" t="s">
        <v>15</v>
      </c>
      <c r="D240">
        <v>3</v>
      </c>
      <c r="E240">
        <v>79</v>
      </c>
      <c r="F240">
        <v>74</v>
      </c>
      <c r="G240">
        <v>72</v>
      </c>
      <c r="H240">
        <v>77</v>
      </c>
      <c r="I240" t="s">
        <v>13</v>
      </c>
      <c r="J240">
        <v>7</v>
      </c>
      <c r="K240">
        <v>4</v>
      </c>
    </row>
    <row r="241" spans="1:11">
      <c r="A241">
        <v>233</v>
      </c>
      <c r="B241" t="s">
        <v>143</v>
      </c>
      <c r="C241" t="s">
        <v>15</v>
      </c>
      <c r="D241">
        <v>5</v>
      </c>
      <c r="E241">
        <v>90</v>
      </c>
      <c r="F241">
        <v>86</v>
      </c>
      <c r="G241">
        <v>88</v>
      </c>
      <c r="H241">
        <v>89</v>
      </c>
      <c r="I241" t="s">
        <v>13</v>
      </c>
      <c r="J241">
        <v>6</v>
      </c>
      <c r="K241">
        <v>2</v>
      </c>
    </row>
    <row r="242" spans="1:11">
      <c r="A242">
        <v>234</v>
      </c>
      <c r="B242" t="s">
        <v>33</v>
      </c>
      <c r="C242" t="s">
        <v>12</v>
      </c>
      <c r="D242">
        <v>3</v>
      </c>
      <c r="E242">
        <v>80</v>
      </c>
      <c r="F242">
        <v>75</v>
      </c>
      <c r="G242">
        <v>73</v>
      </c>
      <c r="H242">
        <v>78</v>
      </c>
      <c r="I242" t="s">
        <v>16</v>
      </c>
      <c r="J242">
        <v>7</v>
      </c>
      <c r="K242">
        <v>4</v>
      </c>
    </row>
    <row r="243" spans="1:11">
      <c r="A243">
        <v>235</v>
      </c>
      <c r="B243" t="s">
        <v>144</v>
      </c>
      <c r="C243" t="s">
        <v>15</v>
      </c>
      <c r="D243">
        <v>4</v>
      </c>
      <c r="E243">
        <v>87</v>
      </c>
      <c r="F243">
        <v>83</v>
      </c>
      <c r="G243">
        <v>81</v>
      </c>
      <c r="H243">
        <v>85</v>
      </c>
      <c r="I243" t="s">
        <v>13</v>
      </c>
      <c r="J243">
        <v>6</v>
      </c>
      <c r="K243">
        <v>3</v>
      </c>
    </row>
    <row r="244" spans="1:11">
      <c r="A244">
        <v>236</v>
      </c>
      <c r="B244" t="s">
        <v>145</v>
      </c>
      <c r="C244" t="s">
        <v>12</v>
      </c>
      <c r="D244">
        <v>2</v>
      </c>
      <c r="E244">
        <v>70</v>
      </c>
      <c r="F244">
        <v>62</v>
      </c>
      <c r="G244">
        <v>60</v>
      </c>
      <c r="H244">
        <v>66</v>
      </c>
      <c r="I244" t="s">
        <v>16</v>
      </c>
      <c r="J244">
        <v>8</v>
      </c>
      <c r="K244">
        <v>5</v>
      </c>
    </row>
    <row r="245" spans="1:11">
      <c r="A245">
        <v>237</v>
      </c>
      <c r="B245" t="s">
        <v>146</v>
      </c>
      <c r="C245" t="s">
        <v>15</v>
      </c>
      <c r="D245">
        <v>5</v>
      </c>
      <c r="E245">
        <v>92</v>
      </c>
      <c r="F245">
        <v>88</v>
      </c>
      <c r="G245">
        <v>90</v>
      </c>
      <c r="H245">
        <v>91</v>
      </c>
      <c r="I245" t="s">
        <v>13</v>
      </c>
      <c r="J245">
        <v>6</v>
      </c>
      <c r="K245">
        <v>2</v>
      </c>
    </row>
    <row r="246" spans="1:11">
      <c r="A246">
        <v>238</v>
      </c>
      <c r="B246" t="s">
        <v>147</v>
      </c>
      <c r="C246" t="s">
        <v>12</v>
      </c>
      <c r="D246">
        <v>3</v>
      </c>
      <c r="E246">
        <v>78</v>
      </c>
      <c r="F246">
        <v>72</v>
      </c>
      <c r="G246">
        <v>70</v>
      </c>
      <c r="H246">
        <v>75</v>
      </c>
      <c r="I246" t="s">
        <v>13</v>
      </c>
      <c r="J246">
        <v>7</v>
      </c>
      <c r="K246">
        <v>4</v>
      </c>
    </row>
    <row r="247" spans="1:11">
      <c r="A247">
        <v>239</v>
      </c>
      <c r="B247" t="s">
        <v>148</v>
      </c>
      <c r="C247" t="s">
        <v>15</v>
      </c>
      <c r="D247">
        <v>4</v>
      </c>
      <c r="E247">
        <v>85</v>
      </c>
      <c r="F247">
        <v>80</v>
      </c>
      <c r="G247">
        <v>82</v>
      </c>
      <c r="H247">
        <v>84</v>
      </c>
      <c r="I247" t="s">
        <v>13</v>
      </c>
      <c r="J247">
        <v>7</v>
      </c>
      <c r="K247">
        <v>3</v>
      </c>
    </row>
    <row r="248" spans="1:11">
      <c r="A248">
        <v>240</v>
      </c>
      <c r="B248" t="s">
        <v>149</v>
      </c>
      <c r="C248" t="s">
        <v>12</v>
      </c>
      <c r="D248">
        <v>6</v>
      </c>
      <c r="E248">
        <v>94</v>
      </c>
      <c r="F248">
        <v>91</v>
      </c>
      <c r="G248">
        <v>90</v>
      </c>
      <c r="H248">
        <v>92</v>
      </c>
      <c r="I248" t="s">
        <v>16</v>
      </c>
      <c r="J248">
        <v>6</v>
      </c>
      <c r="K248">
        <v>2</v>
      </c>
    </row>
    <row r="249" spans="1:11">
      <c r="A249">
        <v>241</v>
      </c>
      <c r="B249" t="s">
        <v>150</v>
      </c>
      <c r="C249" t="s">
        <v>15</v>
      </c>
      <c r="D249">
        <v>3</v>
      </c>
      <c r="E249">
        <v>79</v>
      </c>
      <c r="F249">
        <v>74</v>
      </c>
      <c r="G249">
        <v>72</v>
      </c>
      <c r="H249">
        <v>76</v>
      </c>
      <c r="I249" t="s">
        <v>13</v>
      </c>
      <c r="J249">
        <v>7</v>
      </c>
      <c r="K249">
        <v>4</v>
      </c>
    </row>
    <row r="250" spans="1:11">
      <c r="A250">
        <v>242</v>
      </c>
      <c r="B250" t="s">
        <v>151</v>
      </c>
      <c r="C250" t="s">
        <v>12</v>
      </c>
      <c r="D250">
        <v>2</v>
      </c>
      <c r="E250">
        <v>72</v>
      </c>
      <c r="F250">
        <v>65</v>
      </c>
      <c r="G250">
        <v>64</v>
      </c>
      <c r="H250">
        <v>68</v>
      </c>
      <c r="I250" t="s">
        <v>16</v>
      </c>
      <c r="J250">
        <v>8</v>
      </c>
      <c r="K250">
        <v>5</v>
      </c>
    </row>
    <row r="251" spans="1:11">
      <c r="A251">
        <v>243</v>
      </c>
      <c r="B251" t="s">
        <v>114</v>
      </c>
      <c r="C251" t="s">
        <v>15</v>
      </c>
      <c r="D251">
        <v>5</v>
      </c>
      <c r="E251">
        <v>90</v>
      </c>
      <c r="F251">
        <v>86</v>
      </c>
      <c r="G251">
        <v>88</v>
      </c>
      <c r="H251">
        <v>89</v>
      </c>
      <c r="I251" t="s">
        <v>13</v>
      </c>
      <c r="J251">
        <v>6</v>
      </c>
      <c r="K251">
        <v>2</v>
      </c>
    </row>
    <row r="252" spans="1:11">
      <c r="A252">
        <v>244</v>
      </c>
      <c r="B252" t="s">
        <v>152</v>
      </c>
      <c r="C252" t="s">
        <v>12</v>
      </c>
      <c r="D252">
        <v>3</v>
      </c>
      <c r="E252">
        <v>80</v>
      </c>
      <c r="F252">
        <v>75</v>
      </c>
      <c r="G252">
        <v>73</v>
      </c>
      <c r="H252">
        <v>78</v>
      </c>
      <c r="I252" t="s">
        <v>16</v>
      </c>
      <c r="J252">
        <v>7</v>
      </c>
      <c r="K252">
        <v>4</v>
      </c>
    </row>
    <row r="253" spans="1:11">
      <c r="A253">
        <v>245</v>
      </c>
      <c r="B253" t="s">
        <v>153</v>
      </c>
      <c r="C253" t="s">
        <v>15</v>
      </c>
      <c r="D253">
        <v>4</v>
      </c>
      <c r="E253">
        <v>87</v>
      </c>
      <c r="F253">
        <v>83</v>
      </c>
      <c r="G253">
        <v>81</v>
      </c>
      <c r="H253">
        <v>85</v>
      </c>
      <c r="I253" t="s">
        <v>13</v>
      </c>
      <c r="J253">
        <v>6</v>
      </c>
      <c r="K253">
        <v>3</v>
      </c>
    </row>
    <row r="254" spans="1:11">
      <c r="A254">
        <v>246</v>
      </c>
      <c r="B254" t="s">
        <v>35</v>
      </c>
      <c r="C254" t="s">
        <v>12</v>
      </c>
      <c r="D254">
        <v>2</v>
      </c>
      <c r="E254">
        <v>70</v>
      </c>
      <c r="F254">
        <v>62</v>
      </c>
      <c r="G254">
        <v>60</v>
      </c>
      <c r="H254">
        <v>66</v>
      </c>
      <c r="I254" t="s">
        <v>16</v>
      </c>
      <c r="J254">
        <v>8</v>
      </c>
      <c r="K254">
        <v>5</v>
      </c>
    </row>
    <row r="255" spans="1:11">
      <c r="A255">
        <v>247</v>
      </c>
      <c r="B255" t="s">
        <v>154</v>
      </c>
      <c r="C255" t="s">
        <v>15</v>
      </c>
      <c r="D255">
        <v>5</v>
      </c>
      <c r="E255">
        <v>92</v>
      </c>
      <c r="F255">
        <v>88</v>
      </c>
      <c r="G255">
        <v>90</v>
      </c>
      <c r="H255">
        <v>91</v>
      </c>
      <c r="I255" t="s">
        <v>13</v>
      </c>
      <c r="J255">
        <v>6</v>
      </c>
      <c r="K255">
        <v>2</v>
      </c>
    </row>
    <row r="256" spans="1:11">
      <c r="A256">
        <v>248</v>
      </c>
      <c r="B256" t="s">
        <v>71</v>
      </c>
      <c r="C256" t="s">
        <v>12</v>
      </c>
      <c r="D256">
        <v>3</v>
      </c>
      <c r="E256">
        <v>78</v>
      </c>
      <c r="F256">
        <v>72</v>
      </c>
      <c r="G256">
        <v>70</v>
      </c>
      <c r="H256">
        <v>75</v>
      </c>
      <c r="I256" t="s">
        <v>13</v>
      </c>
      <c r="J256">
        <v>7</v>
      </c>
      <c r="K256">
        <v>4</v>
      </c>
    </row>
    <row r="257" spans="1:11">
      <c r="A257">
        <v>249</v>
      </c>
      <c r="B257" t="s">
        <v>155</v>
      </c>
      <c r="C257" t="s">
        <v>15</v>
      </c>
      <c r="D257">
        <v>4</v>
      </c>
      <c r="E257">
        <v>85</v>
      </c>
      <c r="F257">
        <v>80</v>
      </c>
      <c r="G257">
        <v>82</v>
      </c>
      <c r="H257">
        <v>84</v>
      </c>
      <c r="I257" t="s">
        <v>13</v>
      </c>
      <c r="J257">
        <v>7</v>
      </c>
      <c r="K257">
        <v>3</v>
      </c>
    </row>
    <row r="258" spans="1:11">
      <c r="A258">
        <v>250</v>
      </c>
      <c r="B258" t="s">
        <v>156</v>
      </c>
      <c r="C258" t="s">
        <v>12</v>
      </c>
      <c r="D258">
        <v>6</v>
      </c>
      <c r="E258">
        <v>94</v>
      </c>
      <c r="F258">
        <v>91</v>
      </c>
      <c r="G258">
        <v>90</v>
      </c>
      <c r="H258">
        <v>92</v>
      </c>
      <c r="I258" t="s">
        <v>16</v>
      </c>
      <c r="J258">
        <v>6</v>
      </c>
      <c r="K258">
        <v>2</v>
      </c>
    </row>
    <row r="259" spans="1:11">
      <c r="A259">
        <v>251</v>
      </c>
      <c r="C259" t="s">
        <v>12</v>
      </c>
      <c r="D259">
        <v>3</v>
      </c>
      <c r="E259">
        <v>80</v>
      </c>
      <c r="F259">
        <v>75</v>
      </c>
      <c r="G259">
        <v>73</v>
      </c>
      <c r="H259">
        <v>78</v>
      </c>
      <c r="I259" t="s">
        <v>13</v>
      </c>
      <c r="J259">
        <v>7</v>
      </c>
      <c r="K259">
        <v>4</v>
      </c>
    </row>
    <row r="260" spans="1:11">
      <c r="A260">
        <v>252</v>
      </c>
      <c r="B260" t="s">
        <v>158</v>
      </c>
      <c r="C260" t="s">
        <v>159</v>
      </c>
      <c r="D260">
        <v>5</v>
      </c>
      <c r="E260">
        <v>90</v>
      </c>
      <c r="F260">
        <v>86</v>
      </c>
      <c r="G260">
        <v>88</v>
      </c>
      <c r="H260">
        <v>89</v>
      </c>
      <c r="I260" t="s">
        <v>67</v>
      </c>
      <c r="J260">
        <v>6</v>
      </c>
      <c r="K260">
        <v>2</v>
      </c>
    </row>
    <row r="261" spans="1:11">
      <c r="A261">
        <v>253</v>
      </c>
      <c r="B261" t="s">
        <v>63</v>
      </c>
      <c r="C261" t="s">
        <v>12</v>
      </c>
      <c r="E261">
        <v>85</v>
      </c>
      <c r="F261">
        <v>80</v>
      </c>
      <c r="G261">
        <v>82</v>
      </c>
      <c r="H261">
        <v>84</v>
      </c>
      <c r="I261" t="s">
        <v>13</v>
      </c>
      <c r="J261">
        <v>7</v>
      </c>
      <c r="K261">
        <v>3</v>
      </c>
    </row>
    <row r="262" spans="1:11">
      <c r="A262">
        <v>254</v>
      </c>
      <c r="B262" t="s">
        <v>160</v>
      </c>
      <c r="C262" t="s">
        <v>161</v>
      </c>
      <c r="D262">
        <v>2</v>
      </c>
      <c r="E262">
        <v>70</v>
      </c>
      <c r="F262">
        <v>62</v>
      </c>
      <c r="G262">
        <v>60</v>
      </c>
      <c r="H262">
        <v>66</v>
      </c>
      <c r="I262" t="s">
        <v>162</v>
      </c>
      <c r="J262">
        <v>8</v>
      </c>
      <c r="K262">
        <v>5</v>
      </c>
    </row>
    <row r="263" spans="1:11">
      <c r="A263">
        <v>255</v>
      </c>
      <c r="B263" t="s">
        <v>40</v>
      </c>
      <c r="C263" t="s">
        <v>15</v>
      </c>
      <c r="D263">
        <v>5</v>
      </c>
      <c r="E263">
        <v>92</v>
      </c>
      <c r="F263">
        <v>88</v>
      </c>
      <c r="G263">
        <v>90</v>
      </c>
      <c r="H263">
        <v>91</v>
      </c>
      <c r="I263" t="s">
        <v>13</v>
      </c>
      <c r="K263">
        <v>2</v>
      </c>
    </row>
    <row r="264" spans="1:11">
      <c r="A264">
        <v>256</v>
      </c>
      <c r="B264" t="s">
        <v>71</v>
      </c>
      <c r="C264" t="s">
        <v>12</v>
      </c>
      <c r="D264">
        <v>3</v>
      </c>
      <c r="E264">
        <v>78</v>
      </c>
      <c r="F264">
        <v>72</v>
      </c>
      <c r="G264">
        <v>70</v>
      </c>
      <c r="H264">
        <v>75</v>
      </c>
      <c r="I264" t="s">
        <v>13</v>
      </c>
      <c r="J264">
        <v>7</v>
      </c>
      <c r="K264">
        <v>4</v>
      </c>
    </row>
    <row r="265" spans="1:11">
      <c r="A265">
        <v>257</v>
      </c>
      <c r="B265" t="s">
        <v>158</v>
      </c>
      <c r="C265" t="s">
        <v>159</v>
      </c>
      <c r="D265">
        <v>5</v>
      </c>
      <c r="E265">
        <v>90</v>
      </c>
      <c r="F265">
        <v>86</v>
      </c>
      <c r="G265">
        <v>88</v>
      </c>
      <c r="H265">
        <v>89</v>
      </c>
      <c r="I265" t="s">
        <v>67</v>
      </c>
      <c r="J265">
        <v>6</v>
      </c>
      <c r="K265">
        <v>2</v>
      </c>
    </row>
    <row r="266" spans="1:11">
      <c r="A266">
        <v>258</v>
      </c>
      <c r="B266" t="s">
        <v>63</v>
      </c>
      <c r="C266" t="s">
        <v>12</v>
      </c>
      <c r="E266">
        <v>85</v>
      </c>
      <c r="F266">
        <v>80</v>
      </c>
      <c r="G266">
        <v>82</v>
      </c>
      <c r="H266">
        <v>84</v>
      </c>
      <c r="I266" t="s">
        <v>13</v>
      </c>
      <c r="J266">
        <v>7</v>
      </c>
      <c r="K266">
        <v>3</v>
      </c>
    </row>
    <row r="267" spans="1:11">
      <c r="A267">
        <v>259</v>
      </c>
      <c r="B267" t="s">
        <v>160</v>
      </c>
      <c r="C267" t="s">
        <v>161</v>
      </c>
      <c r="D267">
        <v>2</v>
      </c>
      <c r="E267">
        <v>70</v>
      </c>
      <c r="F267">
        <v>62</v>
      </c>
      <c r="G267">
        <v>60</v>
      </c>
      <c r="H267">
        <v>66</v>
      </c>
      <c r="I267" t="s">
        <v>162</v>
      </c>
      <c r="J267">
        <v>8</v>
      </c>
      <c r="K267">
        <v>5</v>
      </c>
    </row>
    <row r="268" spans="1:11">
      <c r="A268">
        <v>260</v>
      </c>
      <c r="B268" t="s">
        <v>40</v>
      </c>
      <c r="C268" t="s">
        <v>15</v>
      </c>
      <c r="D268">
        <v>5</v>
      </c>
      <c r="E268">
        <v>92</v>
      </c>
      <c r="F268">
        <v>88</v>
      </c>
      <c r="G268">
        <v>90</v>
      </c>
      <c r="H268">
        <v>91</v>
      </c>
      <c r="I268" t="s">
        <v>13</v>
      </c>
      <c r="K268">
        <v>2</v>
      </c>
    </row>
    <row r="269" spans="1:11">
      <c r="A269">
        <v>261</v>
      </c>
      <c r="B269" t="s">
        <v>50</v>
      </c>
      <c r="C269" t="s">
        <v>15</v>
      </c>
      <c r="D269">
        <v>4</v>
      </c>
      <c r="E269">
        <v>87</v>
      </c>
      <c r="F269">
        <v>83</v>
      </c>
      <c r="G269">
        <v>81</v>
      </c>
      <c r="H269">
        <v>85</v>
      </c>
      <c r="I269" t="s">
        <v>13</v>
      </c>
      <c r="J269">
        <v>6</v>
      </c>
      <c r="K269">
        <v>3</v>
      </c>
    </row>
    <row r="270" spans="1:11">
      <c r="A270">
        <v>262</v>
      </c>
      <c r="C270" t="s">
        <v>12</v>
      </c>
      <c r="D270">
        <v>2</v>
      </c>
      <c r="E270">
        <v>68</v>
      </c>
      <c r="F270">
        <v>60</v>
      </c>
      <c r="G270">
        <v>58</v>
      </c>
      <c r="H270">
        <v>64</v>
      </c>
      <c r="I270" t="s">
        <v>16</v>
      </c>
      <c r="J270">
        <v>8</v>
      </c>
      <c r="K270">
        <v>5</v>
      </c>
    </row>
    <row r="271" spans="1:11">
      <c r="A271">
        <v>263</v>
      </c>
      <c r="B271" t="s">
        <v>154</v>
      </c>
      <c r="C271" t="s">
        <v>15</v>
      </c>
      <c r="D271">
        <v>5</v>
      </c>
      <c r="E271">
        <v>91</v>
      </c>
      <c r="F271">
        <v>87</v>
      </c>
      <c r="G271">
        <v>88</v>
      </c>
      <c r="H271">
        <v>90</v>
      </c>
      <c r="I271" t="s">
        <v>13</v>
      </c>
      <c r="J271">
        <v>6</v>
      </c>
      <c r="K271">
        <v>2</v>
      </c>
    </row>
    <row r="272" spans="1:11">
      <c r="A272">
        <v>264</v>
      </c>
      <c r="B272" t="s">
        <v>156</v>
      </c>
      <c r="C272" t="s">
        <v>12</v>
      </c>
      <c r="D272">
        <v>6</v>
      </c>
      <c r="E272">
        <v>94</v>
      </c>
      <c r="F272">
        <v>91</v>
      </c>
      <c r="G272">
        <v>90</v>
      </c>
      <c r="H272">
        <v>92</v>
      </c>
      <c r="I272" t="s">
        <v>16</v>
      </c>
      <c r="J272">
        <v>6</v>
      </c>
      <c r="K272">
        <v>2</v>
      </c>
    </row>
    <row r="273" spans="1:11">
      <c r="A273">
        <v>265</v>
      </c>
      <c r="B273" t="s">
        <v>37</v>
      </c>
      <c r="C273" t="s">
        <v>12</v>
      </c>
      <c r="D273">
        <v>3</v>
      </c>
      <c r="E273">
        <v>80</v>
      </c>
      <c r="F273">
        <v>75</v>
      </c>
      <c r="G273">
        <v>73</v>
      </c>
      <c r="H273">
        <v>78</v>
      </c>
      <c r="I273" t="s">
        <v>13</v>
      </c>
      <c r="J273">
        <v>7</v>
      </c>
      <c r="K273">
        <v>4</v>
      </c>
    </row>
    <row r="274" spans="1:11">
      <c r="A274">
        <v>266</v>
      </c>
      <c r="B274" t="s">
        <v>28</v>
      </c>
      <c r="C274" t="s">
        <v>15</v>
      </c>
      <c r="D274">
        <v>4</v>
      </c>
      <c r="E274">
        <v>85</v>
      </c>
      <c r="F274">
        <v>80</v>
      </c>
      <c r="G274">
        <v>82</v>
      </c>
      <c r="H274">
        <v>84</v>
      </c>
      <c r="I274" t="s">
        <v>13</v>
      </c>
      <c r="J274">
        <v>7</v>
      </c>
      <c r="K274">
        <v>3</v>
      </c>
    </row>
    <row r="275" spans="1:11">
      <c r="A275">
        <v>267</v>
      </c>
      <c r="B275" t="s">
        <v>39</v>
      </c>
      <c r="C275" t="s">
        <v>12</v>
      </c>
      <c r="D275">
        <v>2</v>
      </c>
      <c r="E275">
        <v>70</v>
      </c>
      <c r="F275">
        <v>62</v>
      </c>
      <c r="G275">
        <v>60</v>
      </c>
      <c r="H275">
        <v>66</v>
      </c>
      <c r="I275" t="s">
        <v>16</v>
      </c>
      <c r="J275">
        <v>8</v>
      </c>
      <c r="K275">
        <v>5</v>
      </c>
    </row>
    <row r="276" spans="1:11">
      <c r="A276">
        <v>268</v>
      </c>
      <c r="B276" t="s">
        <v>56</v>
      </c>
      <c r="C276" t="s">
        <v>15</v>
      </c>
      <c r="D276">
        <v>5</v>
      </c>
      <c r="E276">
        <v>92</v>
      </c>
      <c r="F276">
        <v>88</v>
      </c>
      <c r="G276">
        <v>90</v>
      </c>
      <c r="H276">
        <v>91</v>
      </c>
      <c r="I276" t="s">
        <v>13</v>
      </c>
      <c r="J276">
        <v>6</v>
      </c>
      <c r="K276">
        <v>2</v>
      </c>
    </row>
    <row r="277" spans="1:11">
      <c r="A277">
        <v>269</v>
      </c>
      <c r="B277" t="s">
        <v>53</v>
      </c>
      <c r="C277" t="s">
        <v>12</v>
      </c>
      <c r="D277">
        <v>1</v>
      </c>
      <c r="E277">
        <v>62</v>
      </c>
      <c r="F277">
        <v>52</v>
      </c>
      <c r="G277">
        <v>50</v>
      </c>
      <c r="H277">
        <v>57</v>
      </c>
      <c r="I277" t="s">
        <v>16</v>
      </c>
      <c r="J277">
        <v>8</v>
      </c>
      <c r="K277">
        <v>6</v>
      </c>
    </row>
    <row r="278" spans="1:11">
      <c r="A278">
        <v>270</v>
      </c>
      <c r="B278" t="s">
        <v>117</v>
      </c>
      <c r="C278" t="s">
        <v>15</v>
      </c>
      <c r="D278">
        <v>4</v>
      </c>
      <c r="E278">
        <v>87</v>
      </c>
      <c r="F278">
        <v>83</v>
      </c>
      <c r="G278">
        <v>81</v>
      </c>
      <c r="H278">
        <v>85</v>
      </c>
      <c r="I278" t="s">
        <v>13</v>
      </c>
      <c r="J278">
        <v>6</v>
      </c>
      <c r="K278">
        <v>3</v>
      </c>
    </row>
    <row r="279" spans="1:11">
      <c r="A279">
        <v>271</v>
      </c>
      <c r="B279" t="s">
        <v>33</v>
      </c>
      <c r="C279" t="s">
        <v>12</v>
      </c>
      <c r="D279">
        <v>3</v>
      </c>
      <c r="E279">
        <v>82</v>
      </c>
      <c r="F279">
        <v>76</v>
      </c>
      <c r="G279">
        <v>75</v>
      </c>
      <c r="H279">
        <v>80</v>
      </c>
      <c r="I279" t="s">
        <v>16</v>
      </c>
      <c r="J279">
        <v>7</v>
      </c>
      <c r="K279">
        <v>4</v>
      </c>
    </row>
    <row r="280" spans="1:11">
      <c r="A280">
        <v>272</v>
      </c>
      <c r="B280" t="s">
        <v>52</v>
      </c>
      <c r="C280" t="s">
        <v>15</v>
      </c>
      <c r="D280">
        <v>4</v>
      </c>
      <c r="E280">
        <v>85</v>
      </c>
      <c r="F280">
        <v>80</v>
      </c>
      <c r="G280">
        <v>82</v>
      </c>
      <c r="H280">
        <v>84</v>
      </c>
      <c r="I280" t="s">
        <v>13</v>
      </c>
      <c r="J280">
        <v>7</v>
      </c>
      <c r="K280">
        <v>3</v>
      </c>
    </row>
    <row r="281" spans="1:11">
      <c r="A281">
        <v>273</v>
      </c>
      <c r="B281" t="s">
        <v>47</v>
      </c>
      <c r="C281" t="s">
        <v>12</v>
      </c>
      <c r="D281">
        <v>6</v>
      </c>
      <c r="E281">
        <v>94</v>
      </c>
      <c r="F281">
        <v>91</v>
      </c>
      <c r="G281">
        <v>90</v>
      </c>
      <c r="H281">
        <v>92</v>
      </c>
      <c r="I281" t="s">
        <v>16</v>
      </c>
      <c r="J281">
        <v>6</v>
      </c>
      <c r="K281">
        <v>2</v>
      </c>
    </row>
    <row r="282" spans="1:11">
      <c r="A282">
        <v>274</v>
      </c>
      <c r="B282" t="s">
        <v>93</v>
      </c>
      <c r="C282" t="s">
        <v>15</v>
      </c>
      <c r="D282">
        <v>3</v>
      </c>
      <c r="E282">
        <v>79</v>
      </c>
      <c r="F282">
        <v>74</v>
      </c>
      <c r="G282">
        <v>72</v>
      </c>
      <c r="H282">
        <v>76</v>
      </c>
      <c r="I282" t="s">
        <v>13</v>
      </c>
      <c r="J282">
        <v>7</v>
      </c>
      <c r="K282">
        <v>4</v>
      </c>
    </row>
    <row r="283" spans="1:11">
      <c r="A283">
        <v>275</v>
      </c>
      <c r="B283" t="s">
        <v>35</v>
      </c>
      <c r="C283" t="s">
        <v>12</v>
      </c>
      <c r="D283">
        <v>2</v>
      </c>
      <c r="E283">
        <v>70</v>
      </c>
      <c r="F283">
        <v>62</v>
      </c>
      <c r="G283">
        <v>60</v>
      </c>
      <c r="H283">
        <v>66</v>
      </c>
      <c r="I283" t="s">
        <v>16</v>
      </c>
      <c r="J283">
        <v>8</v>
      </c>
      <c r="K283">
        <v>5</v>
      </c>
    </row>
    <row r="284" spans="1:11">
      <c r="A284">
        <v>276</v>
      </c>
      <c r="B284" t="s">
        <v>26</v>
      </c>
      <c r="C284" t="s">
        <v>15</v>
      </c>
      <c r="D284">
        <v>5</v>
      </c>
      <c r="E284">
        <v>90</v>
      </c>
      <c r="F284">
        <v>86</v>
      </c>
      <c r="G284">
        <v>88</v>
      </c>
      <c r="H284">
        <v>89</v>
      </c>
      <c r="I284" t="s">
        <v>13</v>
      </c>
      <c r="J284">
        <v>6</v>
      </c>
      <c r="K284">
        <v>2</v>
      </c>
    </row>
    <row r="285" spans="1:11">
      <c r="A285">
        <v>277</v>
      </c>
      <c r="B285" t="s">
        <v>27</v>
      </c>
      <c r="C285" t="s">
        <v>12</v>
      </c>
      <c r="D285">
        <v>3</v>
      </c>
      <c r="E285">
        <v>80</v>
      </c>
      <c r="F285">
        <v>75</v>
      </c>
      <c r="G285">
        <v>73</v>
      </c>
      <c r="H285">
        <v>78</v>
      </c>
      <c r="I285" t="s">
        <v>13</v>
      </c>
      <c r="J285">
        <v>7</v>
      </c>
      <c r="K285">
        <v>4</v>
      </c>
    </row>
    <row r="286" spans="1:11">
      <c r="A286">
        <v>278</v>
      </c>
      <c r="B286" t="s">
        <v>64</v>
      </c>
      <c r="C286" t="s">
        <v>15</v>
      </c>
      <c r="D286">
        <v>4</v>
      </c>
      <c r="E286">
        <v>87</v>
      </c>
      <c r="F286">
        <v>83</v>
      </c>
      <c r="G286">
        <v>81</v>
      </c>
      <c r="H286">
        <v>85</v>
      </c>
      <c r="I286" t="s">
        <v>13</v>
      </c>
      <c r="J286">
        <v>6</v>
      </c>
      <c r="K286">
        <v>3</v>
      </c>
    </row>
    <row r="287" spans="1:11">
      <c r="A287">
        <v>279</v>
      </c>
      <c r="B287" t="s">
        <v>29</v>
      </c>
      <c r="C287" t="s">
        <v>12</v>
      </c>
      <c r="D287">
        <v>2</v>
      </c>
      <c r="E287">
        <v>68</v>
      </c>
      <c r="F287">
        <v>60</v>
      </c>
      <c r="G287">
        <v>58</v>
      </c>
      <c r="H287">
        <v>64</v>
      </c>
      <c r="I287" t="s">
        <v>16</v>
      </c>
      <c r="J287">
        <v>8</v>
      </c>
      <c r="K287">
        <v>5</v>
      </c>
    </row>
    <row r="288" spans="1:11">
      <c r="A288">
        <v>280</v>
      </c>
      <c r="B288" t="s">
        <v>62</v>
      </c>
      <c r="C288" t="s">
        <v>15</v>
      </c>
      <c r="D288">
        <v>5</v>
      </c>
      <c r="E288">
        <v>92</v>
      </c>
      <c r="F288">
        <v>88</v>
      </c>
      <c r="G288">
        <v>90</v>
      </c>
      <c r="H288">
        <v>91</v>
      </c>
      <c r="I288" t="s">
        <v>13</v>
      </c>
      <c r="J288">
        <v>6</v>
      </c>
      <c r="K288">
        <v>2</v>
      </c>
    </row>
    <row r="289" spans="1:11">
      <c r="A289">
        <v>281</v>
      </c>
      <c r="B289" t="s">
        <v>49</v>
      </c>
      <c r="C289" t="s">
        <v>12</v>
      </c>
      <c r="D289">
        <v>3</v>
      </c>
      <c r="E289">
        <v>78</v>
      </c>
      <c r="F289">
        <v>72</v>
      </c>
      <c r="G289">
        <v>70</v>
      </c>
      <c r="H289">
        <v>75</v>
      </c>
      <c r="I289" t="s">
        <v>13</v>
      </c>
      <c r="J289">
        <v>7</v>
      </c>
      <c r="K289">
        <v>4</v>
      </c>
    </row>
    <row r="290" spans="1:11">
      <c r="A290">
        <v>282</v>
      </c>
      <c r="B290" t="s">
        <v>38</v>
      </c>
      <c r="C290" t="s">
        <v>15</v>
      </c>
      <c r="D290">
        <v>4</v>
      </c>
      <c r="E290">
        <v>85</v>
      </c>
      <c r="F290">
        <v>80</v>
      </c>
      <c r="G290">
        <v>82</v>
      </c>
      <c r="H290">
        <v>84</v>
      </c>
      <c r="I290" t="s">
        <v>13</v>
      </c>
      <c r="J290">
        <v>7</v>
      </c>
      <c r="K290">
        <v>3</v>
      </c>
    </row>
    <row r="291" spans="1:11">
      <c r="A291">
        <v>283</v>
      </c>
      <c r="B291" t="s">
        <v>164</v>
      </c>
      <c r="C291" t="s">
        <v>12</v>
      </c>
      <c r="D291">
        <v>6</v>
      </c>
      <c r="E291">
        <v>94</v>
      </c>
      <c r="F291">
        <v>91</v>
      </c>
      <c r="G291">
        <v>90</v>
      </c>
      <c r="H291">
        <v>92</v>
      </c>
      <c r="I291" t="s">
        <v>16</v>
      </c>
      <c r="J291">
        <v>6</v>
      </c>
      <c r="K291">
        <v>2</v>
      </c>
    </row>
    <row r="292" spans="1:11">
      <c r="A292">
        <v>284</v>
      </c>
      <c r="B292" t="s">
        <v>36</v>
      </c>
      <c r="C292" t="s">
        <v>15</v>
      </c>
      <c r="D292">
        <v>3</v>
      </c>
      <c r="E292">
        <v>79</v>
      </c>
      <c r="F292">
        <v>74</v>
      </c>
      <c r="G292">
        <v>72</v>
      </c>
      <c r="H292">
        <v>76</v>
      </c>
      <c r="I292" t="s">
        <v>13</v>
      </c>
      <c r="J292">
        <v>7</v>
      </c>
      <c r="K292">
        <v>4</v>
      </c>
    </row>
    <row r="293" spans="1:11">
      <c r="A293">
        <v>285</v>
      </c>
      <c r="B293" t="s">
        <v>23</v>
      </c>
      <c r="C293" t="s">
        <v>12</v>
      </c>
      <c r="D293">
        <v>2</v>
      </c>
      <c r="E293">
        <v>70</v>
      </c>
      <c r="F293">
        <v>62</v>
      </c>
      <c r="G293">
        <v>60</v>
      </c>
      <c r="H293">
        <v>66</v>
      </c>
      <c r="I293" t="s">
        <v>16</v>
      </c>
      <c r="J293">
        <v>8</v>
      </c>
      <c r="K293">
        <v>5</v>
      </c>
    </row>
    <row r="294" spans="1:11">
      <c r="A294">
        <v>286</v>
      </c>
      <c r="B294" t="s">
        <v>58</v>
      </c>
      <c r="C294" t="s">
        <v>15</v>
      </c>
      <c r="D294">
        <v>5</v>
      </c>
      <c r="E294">
        <v>90</v>
      </c>
      <c r="F294">
        <v>86</v>
      </c>
      <c r="G294">
        <v>88</v>
      </c>
      <c r="H294">
        <v>89</v>
      </c>
      <c r="I294" t="s">
        <v>13</v>
      </c>
      <c r="J294">
        <v>6</v>
      </c>
      <c r="K294">
        <v>2</v>
      </c>
    </row>
    <row r="295" spans="1:11">
      <c r="A295">
        <v>287</v>
      </c>
      <c r="B295" t="s">
        <v>59</v>
      </c>
      <c r="C295" t="s">
        <v>12</v>
      </c>
      <c r="D295">
        <v>3</v>
      </c>
      <c r="E295">
        <v>82</v>
      </c>
      <c r="F295">
        <v>76</v>
      </c>
      <c r="G295">
        <v>75</v>
      </c>
      <c r="H295">
        <v>80</v>
      </c>
      <c r="I295" t="s">
        <v>16</v>
      </c>
      <c r="J295">
        <v>7</v>
      </c>
      <c r="K295">
        <v>4</v>
      </c>
    </row>
    <row r="296" spans="1:11">
      <c r="A296">
        <v>288</v>
      </c>
      <c r="B296" t="s">
        <v>32</v>
      </c>
      <c r="C296" t="s">
        <v>15</v>
      </c>
      <c r="D296">
        <v>4</v>
      </c>
      <c r="E296">
        <v>87</v>
      </c>
      <c r="F296">
        <v>83</v>
      </c>
      <c r="G296">
        <v>81</v>
      </c>
      <c r="H296">
        <v>85</v>
      </c>
      <c r="I296" t="s">
        <v>13</v>
      </c>
      <c r="J296">
        <v>6</v>
      </c>
      <c r="K296">
        <v>3</v>
      </c>
    </row>
    <row r="297" spans="1:11">
      <c r="A297">
        <v>289</v>
      </c>
      <c r="B297" t="s">
        <v>45</v>
      </c>
      <c r="C297" t="s">
        <v>12</v>
      </c>
      <c r="D297">
        <v>2</v>
      </c>
      <c r="E297">
        <v>68</v>
      </c>
      <c r="F297">
        <v>60</v>
      </c>
      <c r="G297">
        <v>58</v>
      </c>
      <c r="H297">
        <v>64</v>
      </c>
      <c r="I297" t="s">
        <v>16</v>
      </c>
      <c r="J297">
        <v>8</v>
      </c>
      <c r="K297">
        <v>5</v>
      </c>
    </row>
    <row r="298" spans="1:11">
      <c r="A298">
        <v>290</v>
      </c>
      <c r="B298" t="s">
        <v>155</v>
      </c>
      <c r="C298" t="s">
        <v>15</v>
      </c>
      <c r="D298">
        <v>5</v>
      </c>
      <c r="E298">
        <v>92</v>
      </c>
      <c r="F298">
        <v>88</v>
      </c>
      <c r="G298">
        <v>90</v>
      </c>
      <c r="H298">
        <v>91</v>
      </c>
      <c r="I298" t="s">
        <v>13</v>
      </c>
      <c r="J298">
        <v>6</v>
      </c>
      <c r="K298">
        <v>2</v>
      </c>
    </row>
    <row r="299" spans="1:11">
      <c r="A299">
        <v>291</v>
      </c>
      <c r="B299" t="s">
        <v>63</v>
      </c>
      <c r="C299" t="s">
        <v>12</v>
      </c>
      <c r="D299">
        <v>3</v>
      </c>
      <c r="E299">
        <v>78</v>
      </c>
      <c r="F299">
        <v>72</v>
      </c>
      <c r="G299">
        <v>70</v>
      </c>
      <c r="H299">
        <v>75</v>
      </c>
      <c r="I299" t="s">
        <v>13</v>
      </c>
      <c r="J299">
        <v>7</v>
      </c>
      <c r="K299">
        <v>4</v>
      </c>
    </row>
    <row r="300" spans="1:11">
      <c r="A300">
        <v>292</v>
      </c>
      <c r="B300" t="s">
        <v>72</v>
      </c>
      <c r="C300" t="s">
        <v>12</v>
      </c>
      <c r="D300">
        <v>4</v>
      </c>
      <c r="E300">
        <v>85</v>
      </c>
      <c r="F300">
        <v>80</v>
      </c>
      <c r="G300">
        <v>82</v>
      </c>
      <c r="H300">
        <v>84</v>
      </c>
      <c r="I300" t="s">
        <v>13</v>
      </c>
      <c r="J300">
        <v>7</v>
      </c>
      <c r="K300">
        <v>3</v>
      </c>
    </row>
    <row r="301" spans="1:11">
      <c r="A301">
        <v>293</v>
      </c>
      <c r="B301" t="s">
        <v>30</v>
      </c>
      <c r="C301" t="s">
        <v>15</v>
      </c>
      <c r="D301">
        <v>6</v>
      </c>
      <c r="E301">
        <v>94</v>
      </c>
      <c r="F301">
        <v>91</v>
      </c>
      <c r="G301">
        <v>90</v>
      </c>
      <c r="H301">
        <v>92</v>
      </c>
      <c r="I301" t="s">
        <v>16</v>
      </c>
      <c r="J301">
        <v>6</v>
      </c>
      <c r="K301">
        <v>2</v>
      </c>
    </row>
    <row r="302" spans="1:11">
      <c r="A302">
        <v>294</v>
      </c>
      <c r="B302" t="s">
        <v>85</v>
      </c>
      <c r="C302" t="s">
        <v>12</v>
      </c>
      <c r="D302">
        <v>2</v>
      </c>
      <c r="E302">
        <v>70</v>
      </c>
      <c r="F302">
        <v>62</v>
      </c>
      <c r="G302">
        <v>60</v>
      </c>
      <c r="H302">
        <v>66</v>
      </c>
      <c r="I302" t="s">
        <v>16</v>
      </c>
      <c r="J302">
        <v>8</v>
      </c>
      <c r="K302">
        <v>5</v>
      </c>
    </row>
    <row r="303" spans="1:11">
      <c r="A303">
        <v>295</v>
      </c>
      <c r="B303" t="s">
        <v>144</v>
      </c>
      <c r="C303" t="s">
        <v>15</v>
      </c>
      <c r="D303">
        <v>5</v>
      </c>
      <c r="E303">
        <v>90</v>
      </c>
      <c r="F303">
        <v>86</v>
      </c>
      <c r="G303">
        <v>88</v>
      </c>
      <c r="H303">
        <v>89</v>
      </c>
      <c r="I303" t="s">
        <v>13</v>
      </c>
      <c r="J303">
        <v>6</v>
      </c>
      <c r="K303">
        <v>2</v>
      </c>
    </row>
    <row r="304" spans="1:11">
      <c r="A304">
        <v>296</v>
      </c>
      <c r="B304" t="s">
        <v>147</v>
      </c>
      <c r="C304" t="s">
        <v>12</v>
      </c>
      <c r="D304">
        <v>3</v>
      </c>
      <c r="E304">
        <v>82</v>
      </c>
      <c r="F304">
        <v>76</v>
      </c>
      <c r="G304">
        <v>75</v>
      </c>
      <c r="H304">
        <v>80</v>
      </c>
      <c r="I304" t="s">
        <v>16</v>
      </c>
      <c r="J304">
        <v>7</v>
      </c>
      <c r="K304">
        <v>4</v>
      </c>
    </row>
    <row r="305" spans="1:11">
      <c r="A305">
        <v>297</v>
      </c>
      <c r="B305" t="s">
        <v>40</v>
      </c>
      <c r="C305" t="s">
        <v>15</v>
      </c>
      <c r="D305">
        <v>4</v>
      </c>
      <c r="E305">
        <v>87</v>
      </c>
      <c r="F305">
        <v>83</v>
      </c>
      <c r="G305">
        <v>81</v>
      </c>
      <c r="H305">
        <v>85</v>
      </c>
      <c r="I305" t="s">
        <v>13</v>
      </c>
      <c r="J305">
        <v>6</v>
      </c>
      <c r="K305">
        <v>3</v>
      </c>
    </row>
    <row r="306" spans="1:11">
      <c r="A306">
        <v>298</v>
      </c>
      <c r="B306" t="s">
        <v>91</v>
      </c>
      <c r="C306" t="s">
        <v>15</v>
      </c>
      <c r="D306">
        <v>2</v>
      </c>
      <c r="E306">
        <v>68</v>
      </c>
      <c r="F306">
        <v>60</v>
      </c>
      <c r="G306">
        <v>58</v>
      </c>
      <c r="H306">
        <v>64</v>
      </c>
      <c r="I306" t="s">
        <v>16</v>
      </c>
      <c r="J306">
        <v>8</v>
      </c>
      <c r="K306">
        <v>5</v>
      </c>
    </row>
    <row r="307" spans="1:11">
      <c r="A307">
        <v>299</v>
      </c>
      <c r="B307" t="s">
        <v>55</v>
      </c>
      <c r="C307" t="s">
        <v>12</v>
      </c>
      <c r="D307">
        <v>5</v>
      </c>
      <c r="E307">
        <v>92</v>
      </c>
      <c r="F307">
        <v>88</v>
      </c>
      <c r="G307">
        <v>90</v>
      </c>
      <c r="H307">
        <v>91</v>
      </c>
      <c r="I307" t="s">
        <v>13</v>
      </c>
      <c r="J307">
        <v>6</v>
      </c>
      <c r="K307">
        <v>2</v>
      </c>
    </row>
    <row r="308" spans="1:11">
      <c r="A308">
        <v>300</v>
      </c>
      <c r="B308" t="s">
        <v>57</v>
      </c>
      <c r="C308" t="s">
        <v>12</v>
      </c>
      <c r="D308">
        <v>3</v>
      </c>
      <c r="E308">
        <v>78</v>
      </c>
      <c r="F308">
        <v>72</v>
      </c>
      <c r="G308">
        <v>70</v>
      </c>
      <c r="H308">
        <v>75</v>
      </c>
      <c r="I308" t="s">
        <v>13</v>
      </c>
      <c r="J308">
        <v>7</v>
      </c>
      <c r="K308">
        <v>4</v>
      </c>
    </row>
    <row r="309" spans="1:11">
      <c r="A309">
        <v>301</v>
      </c>
      <c r="C309" t="s">
        <v>15</v>
      </c>
      <c r="D309">
        <v>4</v>
      </c>
      <c r="E309">
        <v>85</v>
      </c>
      <c r="F309">
        <v>80</v>
      </c>
      <c r="G309">
        <v>82</v>
      </c>
      <c r="H309">
        <v>84</v>
      </c>
      <c r="I309" t="s">
        <v>13</v>
      </c>
      <c r="J309">
        <v>7</v>
      </c>
      <c r="K309">
        <v>3</v>
      </c>
    </row>
    <row r="310" spans="1:11">
      <c r="A310">
        <v>302</v>
      </c>
      <c r="B310" t="s">
        <v>65</v>
      </c>
      <c r="C310" t="s">
        <v>66</v>
      </c>
      <c r="D310">
        <v>3</v>
      </c>
      <c r="E310">
        <v>85</v>
      </c>
      <c r="F310">
        <v>78</v>
      </c>
      <c r="G310">
        <v>72</v>
      </c>
      <c r="H310">
        <v>80</v>
      </c>
      <c r="I310" t="s">
        <v>67</v>
      </c>
      <c r="J310">
        <v>7</v>
      </c>
      <c r="K310">
        <v>3</v>
      </c>
    </row>
    <row r="311" spans="1:11">
      <c r="A311">
        <v>303</v>
      </c>
      <c r="B311" t="s">
        <v>154</v>
      </c>
      <c r="C311" t="s">
        <v>15</v>
      </c>
      <c r="E311">
        <v>85</v>
      </c>
      <c r="F311">
        <v>80</v>
      </c>
      <c r="G311">
        <v>82</v>
      </c>
      <c r="H311">
        <v>84</v>
      </c>
      <c r="I311" t="s">
        <v>13</v>
      </c>
      <c r="J311">
        <v>7</v>
      </c>
      <c r="K311">
        <v>3</v>
      </c>
    </row>
    <row r="312" spans="1:11">
      <c r="A312">
        <v>304</v>
      </c>
      <c r="B312" t="s">
        <v>68</v>
      </c>
      <c r="C312" t="s">
        <v>69</v>
      </c>
      <c r="D312">
        <v>4</v>
      </c>
      <c r="E312">
        <v>88</v>
      </c>
      <c r="F312">
        <v>82</v>
      </c>
      <c r="G312">
        <v>79</v>
      </c>
      <c r="H312">
        <v>85</v>
      </c>
      <c r="I312" t="s">
        <v>70</v>
      </c>
      <c r="J312">
        <v>7</v>
      </c>
      <c r="K312">
        <v>3</v>
      </c>
    </row>
    <row r="313" spans="1:11">
      <c r="A313">
        <v>305</v>
      </c>
      <c r="B313" t="s">
        <v>71</v>
      </c>
      <c r="C313" t="s">
        <v>12</v>
      </c>
      <c r="D313">
        <v>3</v>
      </c>
      <c r="E313">
        <v>78</v>
      </c>
      <c r="F313">
        <v>72</v>
      </c>
      <c r="G313">
        <v>70</v>
      </c>
      <c r="H313">
        <v>75</v>
      </c>
      <c r="I313" t="s">
        <v>13</v>
      </c>
      <c r="J313">
        <v>7</v>
      </c>
      <c r="K313">
        <v>4</v>
      </c>
    </row>
    <row r="314" spans="1:11">
      <c r="A314">
        <v>306</v>
      </c>
      <c r="B314" t="s">
        <v>163</v>
      </c>
      <c r="C314" t="s">
        <v>12</v>
      </c>
      <c r="D314">
        <v>4</v>
      </c>
      <c r="E314">
        <v>88</v>
      </c>
      <c r="F314">
        <v>82</v>
      </c>
      <c r="G314">
        <v>80</v>
      </c>
      <c r="H314">
        <v>85</v>
      </c>
      <c r="I314" t="s">
        <v>13</v>
      </c>
      <c r="J314">
        <v>7</v>
      </c>
      <c r="K314">
        <v>3</v>
      </c>
    </row>
    <row r="315" spans="1:11">
      <c r="A315">
        <v>307</v>
      </c>
      <c r="B315" t="s">
        <v>158</v>
      </c>
      <c r="C315" t="s">
        <v>159</v>
      </c>
      <c r="D315">
        <v>5</v>
      </c>
      <c r="E315">
        <v>90</v>
      </c>
      <c r="F315">
        <v>86</v>
      </c>
      <c r="G315">
        <v>88</v>
      </c>
      <c r="H315">
        <v>89</v>
      </c>
      <c r="I315" t="s">
        <v>67</v>
      </c>
      <c r="J315">
        <v>6</v>
      </c>
      <c r="K315">
        <v>2</v>
      </c>
    </row>
    <row r="316" spans="1:11">
      <c r="A316">
        <v>308</v>
      </c>
      <c r="B316" t="s">
        <v>63</v>
      </c>
      <c r="C316" t="s">
        <v>12</v>
      </c>
      <c r="E316">
        <v>85</v>
      </c>
      <c r="F316">
        <v>80</v>
      </c>
      <c r="G316">
        <v>82</v>
      </c>
      <c r="H316">
        <v>84</v>
      </c>
      <c r="I316" t="s">
        <v>13</v>
      </c>
      <c r="J316">
        <v>7</v>
      </c>
      <c r="K316">
        <v>3</v>
      </c>
    </row>
    <row r="317" spans="1:11">
      <c r="A317">
        <v>309</v>
      </c>
      <c r="B317" t="s">
        <v>160</v>
      </c>
      <c r="C317" t="s">
        <v>161</v>
      </c>
      <c r="D317">
        <v>2</v>
      </c>
      <c r="E317">
        <v>70</v>
      </c>
      <c r="F317">
        <v>62</v>
      </c>
      <c r="G317">
        <v>60</v>
      </c>
      <c r="H317">
        <v>66</v>
      </c>
      <c r="I317" t="s">
        <v>162</v>
      </c>
      <c r="J317">
        <v>8</v>
      </c>
      <c r="K317">
        <v>5</v>
      </c>
    </row>
    <row r="318" spans="1:11">
      <c r="A318">
        <v>310</v>
      </c>
      <c r="B318" t="s">
        <v>40</v>
      </c>
      <c r="C318" t="s">
        <v>15</v>
      </c>
      <c r="D318">
        <v>5</v>
      </c>
      <c r="E318">
        <v>92</v>
      </c>
      <c r="F318">
        <v>88</v>
      </c>
      <c r="G318">
        <v>90</v>
      </c>
      <c r="H318">
        <v>91</v>
      </c>
      <c r="I318" t="s">
        <v>13</v>
      </c>
      <c r="K318">
        <v>2</v>
      </c>
    </row>
    <row r="319" spans="1:11">
      <c r="A319">
        <v>311</v>
      </c>
      <c r="B319" t="s">
        <v>71</v>
      </c>
      <c r="C319" t="s">
        <v>12</v>
      </c>
      <c r="D319">
        <v>3</v>
      </c>
      <c r="E319">
        <v>78</v>
      </c>
      <c r="F319">
        <v>72</v>
      </c>
      <c r="G319">
        <v>70</v>
      </c>
      <c r="H319">
        <v>75</v>
      </c>
      <c r="I319" t="s">
        <v>13</v>
      </c>
      <c r="J319">
        <v>7</v>
      </c>
      <c r="K319">
        <v>4</v>
      </c>
    </row>
    <row r="320" spans="1:11">
      <c r="A320">
        <v>312</v>
      </c>
      <c r="B320" t="s">
        <v>50</v>
      </c>
      <c r="C320" t="s">
        <v>15</v>
      </c>
      <c r="D320">
        <v>4</v>
      </c>
      <c r="E320">
        <v>87</v>
      </c>
      <c r="F320">
        <v>83</v>
      </c>
      <c r="G320">
        <v>81</v>
      </c>
      <c r="H320">
        <v>85</v>
      </c>
      <c r="I320" t="s">
        <v>13</v>
      </c>
      <c r="J320">
        <v>6</v>
      </c>
      <c r="K320">
        <v>3</v>
      </c>
    </row>
    <row r="321" spans="1:11">
      <c r="A321">
        <v>313</v>
      </c>
      <c r="C321" t="s">
        <v>12</v>
      </c>
      <c r="D321">
        <v>2</v>
      </c>
      <c r="E321">
        <v>68</v>
      </c>
      <c r="F321">
        <v>60</v>
      </c>
      <c r="G321">
        <v>58</v>
      </c>
      <c r="H321">
        <v>64</v>
      </c>
      <c r="I321" t="s">
        <v>16</v>
      </c>
      <c r="J321">
        <v>8</v>
      </c>
      <c r="K321">
        <v>5</v>
      </c>
    </row>
    <row r="322" spans="1:11">
      <c r="A322">
        <v>314</v>
      </c>
      <c r="B322" t="s">
        <v>154</v>
      </c>
      <c r="C322" t="s">
        <v>15</v>
      </c>
      <c r="D322">
        <v>5</v>
      </c>
      <c r="E322">
        <v>91</v>
      </c>
      <c r="F322">
        <v>87</v>
      </c>
      <c r="G322">
        <v>88</v>
      </c>
      <c r="H322">
        <v>90</v>
      </c>
      <c r="I322" t="s">
        <v>13</v>
      </c>
      <c r="J322">
        <v>6</v>
      </c>
      <c r="K322">
        <v>2</v>
      </c>
    </row>
    <row r="323" spans="1:11">
      <c r="A323">
        <v>315</v>
      </c>
      <c r="B323" t="s">
        <v>156</v>
      </c>
      <c r="C323" t="s">
        <v>12</v>
      </c>
      <c r="D323">
        <v>6</v>
      </c>
      <c r="E323">
        <v>94</v>
      </c>
      <c r="F323">
        <v>91</v>
      </c>
      <c r="G323">
        <v>90</v>
      </c>
      <c r="H323">
        <v>92</v>
      </c>
      <c r="I323" t="s">
        <v>16</v>
      </c>
      <c r="J323">
        <v>6</v>
      </c>
      <c r="K323">
        <v>2</v>
      </c>
    </row>
    <row r="324" spans="1:11">
      <c r="A324">
        <v>316</v>
      </c>
      <c r="B324" t="s">
        <v>37</v>
      </c>
      <c r="C324" t="s">
        <v>12</v>
      </c>
      <c r="D324">
        <v>3</v>
      </c>
      <c r="E324">
        <v>80</v>
      </c>
      <c r="F324">
        <v>75</v>
      </c>
      <c r="G324">
        <v>73</v>
      </c>
      <c r="H324">
        <v>78</v>
      </c>
      <c r="I324" t="s">
        <v>13</v>
      </c>
      <c r="J324">
        <v>7</v>
      </c>
      <c r="K324">
        <v>4</v>
      </c>
    </row>
    <row r="325" spans="1:11">
      <c r="A325">
        <v>317</v>
      </c>
      <c r="B325" t="s">
        <v>28</v>
      </c>
      <c r="C325" t="s">
        <v>15</v>
      </c>
      <c r="D325">
        <v>4</v>
      </c>
      <c r="E325">
        <v>85</v>
      </c>
      <c r="F325">
        <v>80</v>
      </c>
      <c r="G325">
        <v>82</v>
      </c>
      <c r="H325">
        <v>84</v>
      </c>
      <c r="I325" t="s">
        <v>13</v>
      </c>
      <c r="J325">
        <v>7</v>
      </c>
      <c r="K325">
        <v>3</v>
      </c>
    </row>
    <row r="326" spans="1:11">
      <c r="A326">
        <v>318</v>
      </c>
      <c r="B326" t="s">
        <v>39</v>
      </c>
      <c r="C326" t="s">
        <v>12</v>
      </c>
      <c r="D326">
        <v>2</v>
      </c>
      <c r="E326">
        <v>70</v>
      </c>
      <c r="F326">
        <v>62</v>
      </c>
      <c r="G326">
        <v>60</v>
      </c>
      <c r="H326">
        <v>66</v>
      </c>
      <c r="I326" t="s">
        <v>16</v>
      </c>
      <c r="J326">
        <v>8</v>
      </c>
      <c r="K326">
        <v>5</v>
      </c>
    </row>
    <row r="327" spans="1:11">
      <c r="A327">
        <v>319</v>
      </c>
      <c r="B327" t="s">
        <v>56</v>
      </c>
      <c r="C327" t="s">
        <v>15</v>
      </c>
      <c r="D327">
        <v>5</v>
      </c>
      <c r="E327">
        <v>92</v>
      </c>
      <c r="F327">
        <v>88</v>
      </c>
      <c r="G327">
        <v>90</v>
      </c>
      <c r="H327">
        <v>91</v>
      </c>
      <c r="I327" t="s">
        <v>13</v>
      </c>
      <c r="J327">
        <v>6</v>
      </c>
      <c r="K327">
        <v>2</v>
      </c>
    </row>
    <row r="328" spans="1:11">
      <c r="A328">
        <v>320</v>
      </c>
      <c r="B328" t="s">
        <v>71</v>
      </c>
      <c r="C328" t="s">
        <v>12</v>
      </c>
      <c r="D328">
        <v>3</v>
      </c>
      <c r="E328">
        <v>78</v>
      </c>
      <c r="F328">
        <v>72</v>
      </c>
      <c r="G328">
        <v>70</v>
      </c>
      <c r="H328">
        <v>75</v>
      </c>
      <c r="I328" t="s">
        <v>13</v>
      </c>
      <c r="J328">
        <v>7</v>
      </c>
      <c r="K328">
        <v>4</v>
      </c>
    </row>
    <row r="329" spans="1:11">
      <c r="A329">
        <v>321</v>
      </c>
      <c r="B329" t="s">
        <v>18</v>
      </c>
      <c r="C329" t="s">
        <v>15</v>
      </c>
      <c r="D329">
        <v>4</v>
      </c>
      <c r="E329">
        <v>87</v>
      </c>
      <c r="F329">
        <v>83</v>
      </c>
      <c r="G329">
        <v>81</v>
      </c>
      <c r="H329">
        <v>85</v>
      </c>
      <c r="I329" t="s">
        <v>13</v>
      </c>
      <c r="J329">
        <v>6</v>
      </c>
      <c r="K329">
        <v>3</v>
      </c>
    </row>
    <row r="330" spans="1:11">
      <c r="A330">
        <v>322</v>
      </c>
      <c r="B330" t="s">
        <v>53</v>
      </c>
      <c r="C330" t="s">
        <v>12</v>
      </c>
      <c r="D330">
        <v>1</v>
      </c>
      <c r="E330">
        <v>62</v>
      </c>
      <c r="F330">
        <v>52</v>
      </c>
      <c r="G330">
        <v>50</v>
      </c>
      <c r="H330">
        <v>57</v>
      </c>
      <c r="I330" t="s">
        <v>16</v>
      </c>
      <c r="J330">
        <v>8</v>
      </c>
      <c r="K330">
        <v>6</v>
      </c>
    </row>
    <row r="331" spans="1:11">
      <c r="A331">
        <v>323</v>
      </c>
      <c r="B331" t="s">
        <v>117</v>
      </c>
      <c r="C331" t="s">
        <v>15</v>
      </c>
      <c r="D331">
        <v>5</v>
      </c>
      <c r="E331">
        <v>91</v>
      </c>
      <c r="F331">
        <v>87</v>
      </c>
      <c r="G331">
        <v>88</v>
      </c>
      <c r="H331">
        <v>90</v>
      </c>
      <c r="I331" t="s">
        <v>13</v>
      </c>
      <c r="J331">
        <v>6</v>
      </c>
      <c r="K331">
        <v>2</v>
      </c>
    </row>
    <row r="332" spans="1:11">
      <c r="A332">
        <v>324</v>
      </c>
      <c r="B332" t="s">
        <v>33</v>
      </c>
      <c r="C332" t="s">
        <v>12</v>
      </c>
      <c r="D332">
        <v>3</v>
      </c>
      <c r="E332">
        <v>82</v>
      </c>
      <c r="F332">
        <v>76</v>
      </c>
      <c r="G332">
        <v>75</v>
      </c>
      <c r="H332">
        <v>80</v>
      </c>
      <c r="I332" t="s">
        <v>16</v>
      </c>
      <c r="J332">
        <v>7</v>
      </c>
      <c r="K332">
        <v>4</v>
      </c>
    </row>
    <row r="333" spans="1:11">
      <c r="A333">
        <v>325</v>
      </c>
      <c r="B333" t="s">
        <v>52</v>
      </c>
      <c r="C333" t="s">
        <v>15</v>
      </c>
      <c r="D333">
        <v>4</v>
      </c>
      <c r="E333">
        <v>85</v>
      </c>
      <c r="F333">
        <v>80</v>
      </c>
      <c r="G333">
        <v>82</v>
      </c>
      <c r="H333">
        <v>84</v>
      </c>
      <c r="I333" t="s">
        <v>13</v>
      </c>
      <c r="J333">
        <v>7</v>
      </c>
      <c r="K333">
        <v>3</v>
      </c>
    </row>
    <row r="334" spans="1:11">
      <c r="A334">
        <v>326</v>
      </c>
      <c r="B334" t="s">
        <v>47</v>
      </c>
      <c r="C334" t="s">
        <v>12</v>
      </c>
      <c r="D334">
        <v>6</v>
      </c>
      <c r="E334">
        <v>94</v>
      </c>
      <c r="F334">
        <v>91</v>
      </c>
      <c r="G334">
        <v>90</v>
      </c>
      <c r="H334">
        <v>92</v>
      </c>
      <c r="I334" t="s">
        <v>16</v>
      </c>
      <c r="J334">
        <v>6</v>
      </c>
      <c r="K334">
        <v>2</v>
      </c>
    </row>
    <row r="335" spans="1:11">
      <c r="A335">
        <v>327</v>
      </c>
      <c r="B335" t="s">
        <v>93</v>
      </c>
      <c r="C335" t="s">
        <v>15</v>
      </c>
      <c r="D335">
        <v>3</v>
      </c>
      <c r="E335">
        <v>79</v>
      </c>
      <c r="F335">
        <v>74</v>
      </c>
      <c r="G335">
        <v>72</v>
      </c>
      <c r="H335">
        <v>76</v>
      </c>
      <c r="I335" t="s">
        <v>13</v>
      </c>
      <c r="J335">
        <v>7</v>
      </c>
      <c r="K335">
        <v>4</v>
      </c>
    </row>
    <row r="336" spans="1:11">
      <c r="A336">
        <v>328</v>
      </c>
      <c r="B336" t="s">
        <v>35</v>
      </c>
      <c r="C336" t="s">
        <v>12</v>
      </c>
      <c r="D336">
        <v>2</v>
      </c>
      <c r="E336">
        <v>70</v>
      </c>
      <c r="F336">
        <v>62</v>
      </c>
      <c r="G336">
        <v>60</v>
      </c>
      <c r="H336">
        <v>66</v>
      </c>
      <c r="I336" t="s">
        <v>16</v>
      </c>
      <c r="J336">
        <v>8</v>
      </c>
      <c r="K336">
        <v>5</v>
      </c>
    </row>
    <row r="337" spans="1:11">
      <c r="A337">
        <v>329</v>
      </c>
      <c r="B337" t="s">
        <v>26</v>
      </c>
      <c r="C337" t="s">
        <v>15</v>
      </c>
      <c r="D337">
        <v>5</v>
      </c>
      <c r="E337">
        <v>90</v>
      </c>
      <c r="F337">
        <v>86</v>
      </c>
      <c r="G337">
        <v>88</v>
      </c>
      <c r="H337">
        <v>89</v>
      </c>
      <c r="I337" t="s">
        <v>13</v>
      </c>
      <c r="J337">
        <v>6</v>
      </c>
      <c r="K337">
        <v>2</v>
      </c>
    </row>
    <row r="338" spans="1:11">
      <c r="A338">
        <v>330</v>
      </c>
      <c r="B338" t="s">
        <v>27</v>
      </c>
      <c r="C338" t="s">
        <v>12</v>
      </c>
      <c r="D338">
        <v>3</v>
      </c>
      <c r="E338">
        <v>80</v>
      </c>
      <c r="F338">
        <v>75</v>
      </c>
      <c r="G338">
        <v>73</v>
      </c>
      <c r="H338">
        <v>78</v>
      </c>
      <c r="I338" t="s">
        <v>13</v>
      </c>
      <c r="J338">
        <v>7</v>
      </c>
      <c r="K338">
        <v>4</v>
      </c>
    </row>
    <row r="339" spans="1:11">
      <c r="A339">
        <v>331</v>
      </c>
      <c r="B339" t="s">
        <v>64</v>
      </c>
      <c r="C339" t="s">
        <v>15</v>
      </c>
      <c r="D339">
        <v>4</v>
      </c>
      <c r="E339">
        <v>87</v>
      </c>
      <c r="F339">
        <v>83</v>
      </c>
      <c r="G339">
        <v>81</v>
      </c>
      <c r="H339">
        <v>85</v>
      </c>
      <c r="I339" t="s">
        <v>13</v>
      </c>
      <c r="J339">
        <v>6</v>
      </c>
      <c r="K339">
        <v>3</v>
      </c>
    </row>
    <row r="340" spans="1:11">
      <c r="A340">
        <v>332</v>
      </c>
      <c r="B340" t="s">
        <v>29</v>
      </c>
      <c r="C340" t="s">
        <v>12</v>
      </c>
      <c r="D340">
        <v>2</v>
      </c>
      <c r="E340">
        <v>68</v>
      </c>
      <c r="F340">
        <v>60</v>
      </c>
      <c r="G340">
        <v>58</v>
      </c>
      <c r="H340">
        <v>64</v>
      </c>
      <c r="I340" t="s">
        <v>16</v>
      </c>
      <c r="J340">
        <v>8</v>
      </c>
      <c r="K340">
        <v>5</v>
      </c>
    </row>
    <row r="341" spans="1:11">
      <c r="A341">
        <v>333</v>
      </c>
      <c r="B341" t="s">
        <v>62</v>
      </c>
      <c r="C341" t="s">
        <v>15</v>
      </c>
      <c r="D341">
        <v>5</v>
      </c>
      <c r="E341">
        <v>92</v>
      </c>
      <c r="F341">
        <v>88</v>
      </c>
      <c r="G341">
        <v>90</v>
      </c>
      <c r="H341">
        <v>91</v>
      </c>
      <c r="I341" t="s">
        <v>13</v>
      </c>
      <c r="J341">
        <v>6</v>
      </c>
      <c r="K341">
        <v>2</v>
      </c>
    </row>
    <row r="342" spans="1:11">
      <c r="A342">
        <v>334</v>
      </c>
      <c r="B342" t="s">
        <v>49</v>
      </c>
      <c r="C342" t="s">
        <v>12</v>
      </c>
      <c r="D342">
        <v>3</v>
      </c>
      <c r="E342">
        <v>78</v>
      </c>
      <c r="F342">
        <v>72</v>
      </c>
      <c r="G342">
        <v>70</v>
      </c>
      <c r="H342">
        <v>75</v>
      </c>
      <c r="I342" t="s">
        <v>13</v>
      </c>
      <c r="J342">
        <v>7</v>
      </c>
      <c r="K342">
        <v>4</v>
      </c>
    </row>
    <row r="343" spans="1:11">
      <c r="A343">
        <v>335</v>
      </c>
      <c r="B343" t="s">
        <v>38</v>
      </c>
      <c r="C343" t="s">
        <v>15</v>
      </c>
      <c r="D343">
        <v>4</v>
      </c>
      <c r="E343">
        <v>85</v>
      </c>
      <c r="F343">
        <v>80</v>
      </c>
      <c r="G343">
        <v>82</v>
      </c>
      <c r="H343">
        <v>84</v>
      </c>
      <c r="I343" t="s">
        <v>13</v>
      </c>
      <c r="J343">
        <v>7</v>
      </c>
      <c r="K343">
        <v>3</v>
      </c>
    </row>
    <row r="344" spans="1:11">
      <c r="A344">
        <v>336</v>
      </c>
      <c r="B344" t="s">
        <v>164</v>
      </c>
      <c r="C344" t="s">
        <v>12</v>
      </c>
      <c r="D344">
        <v>6</v>
      </c>
      <c r="E344">
        <v>94</v>
      </c>
      <c r="F344">
        <v>91</v>
      </c>
      <c r="G344">
        <v>90</v>
      </c>
      <c r="H344">
        <v>92</v>
      </c>
      <c r="I344" t="s">
        <v>16</v>
      </c>
      <c r="J344">
        <v>6</v>
      </c>
      <c r="K344">
        <v>2</v>
      </c>
    </row>
    <row r="345" spans="1:11">
      <c r="A345">
        <v>337</v>
      </c>
      <c r="B345" t="s">
        <v>36</v>
      </c>
      <c r="C345" t="s">
        <v>15</v>
      </c>
      <c r="D345">
        <v>3</v>
      </c>
      <c r="E345">
        <v>79</v>
      </c>
      <c r="F345">
        <v>74</v>
      </c>
      <c r="G345">
        <v>72</v>
      </c>
      <c r="H345">
        <v>76</v>
      </c>
      <c r="I345" t="s">
        <v>13</v>
      </c>
      <c r="J345">
        <v>7</v>
      </c>
      <c r="K345">
        <v>4</v>
      </c>
    </row>
    <row r="346" spans="1:11">
      <c r="A346">
        <v>338</v>
      </c>
      <c r="B346" t="s">
        <v>23</v>
      </c>
      <c r="C346" t="s">
        <v>12</v>
      </c>
      <c r="D346">
        <v>2</v>
      </c>
      <c r="E346">
        <v>70</v>
      </c>
      <c r="F346">
        <v>62</v>
      </c>
      <c r="G346">
        <v>60</v>
      </c>
      <c r="H346">
        <v>66</v>
      </c>
      <c r="I346" t="s">
        <v>16</v>
      </c>
      <c r="J346">
        <v>8</v>
      </c>
      <c r="K346">
        <v>5</v>
      </c>
    </row>
    <row r="347" spans="1:11">
      <c r="A347">
        <v>339</v>
      </c>
      <c r="B347" t="s">
        <v>58</v>
      </c>
      <c r="C347" t="s">
        <v>15</v>
      </c>
      <c r="D347">
        <v>5</v>
      </c>
      <c r="E347">
        <v>90</v>
      </c>
      <c r="F347">
        <v>86</v>
      </c>
      <c r="G347">
        <v>88</v>
      </c>
      <c r="H347">
        <v>89</v>
      </c>
      <c r="I347" t="s">
        <v>13</v>
      </c>
      <c r="J347">
        <v>6</v>
      </c>
      <c r="K347">
        <v>2</v>
      </c>
    </row>
    <row r="348" spans="1:11">
      <c r="A348">
        <v>340</v>
      </c>
      <c r="B348" t="s">
        <v>59</v>
      </c>
      <c r="C348" t="s">
        <v>12</v>
      </c>
      <c r="D348">
        <v>3</v>
      </c>
      <c r="E348">
        <v>82</v>
      </c>
      <c r="F348">
        <v>76</v>
      </c>
      <c r="G348">
        <v>75</v>
      </c>
      <c r="H348">
        <v>80</v>
      </c>
      <c r="I348" t="s">
        <v>16</v>
      </c>
      <c r="J348">
        <v>7</v>
      </c>
      <c r="K348">
        <v>4</v>
      </c>
    </row>
    <row r="349" spans="1:11">
      <c r="A349">
        <v>341</v>
      </c>
      <c r="B349" t="s">
        <v>32</v>
      </c>
      <c r="C349" t="s">
        <v>15</v>
      </c>
      <c r="D349">
        <v>4</v>
      </c>
      <c r="E349">
        <v>87</v>
      </c>
      <c r="F349">
        <v>83</v>
      </c>
      <c r="G349">
        <v>81</v>
      </c>
      <c r="H349">
        <v>85</v>
      </c>
      <c r="I349" t="s">
        <v>13</v>
      </c>
      <c r="J349">
        <v>6</v>
      </c>
      <c r="K349">
        <v>3</v>
      </c>
    </row>
    <row r="350" spans="1:11">
      <c r="A350">
        <v>342</v>
      </c>
      <c r="B350" t="s">
        <v>45</v>
      </c>
      <c r="C350" t="s">
        <v>12</v>
      </c>
      <c r="D350">
        <v>2</v>
      </c>
      <c r="E350">
        <v>68</v>
      </c>
      <c r="F350">
        <v>60</v>
      </c>
      <c r="G350">
        <v>58</v>
      </c>
      <c r="H350">
        <v>64</v>
      </c>
      <c r="I350" t="s">
        <v>16</v>
      </c>
      <c r="J350">
        <v>8</v>
      </c>
      <c r="K350">
        <v>5</v>
      </c>
    </row>
    <row r="351" spans="1:11">
      <c r="A351">
        <v>343</v>
      </c>
      <c r="B351" t="s">
        <v>155</v>
      </c>
      <c r="C351" t="s">
        <v>15</v>
      </c>
      <c r="D351">
        <v>5</v>
      </c>
      <c r="E351">
        <v>92</v>
      </c>
      <c r="F351">
        <v>88</v>
      </c>
      <c r="G351">
        <v>90</v>
      </c>
      <c r="H351">
        <v>91</v>
      </c>
      <c r="I351" t="s">
        <v>13</v>
      </c>
      <c r="J351">
        <v>6</v>
      </c>
      <c r="K351">
        <v>2</v>
      </c>
    </row>
    <row r="352" spans="1:11">
      <c r="A352">
        <v>344</v>
      </c>
      <c r="B352" t="s">
        <v>63</v>
      </c>
      <c r="C352" t="s">
        <v>12</v>
      </c>
      <c r="D352">
        <v>3</v>
      </c>
      <c r="E352">
        <v>78</v>
      </c>
      <c r="F352">
        <v>72</v>
      </c>
      <c r="G352">
        <v>70</v>
      </c>
      <c r="H352">
        <v>75</v>
      </c>
      <c r="I352" t="s">
        <v>13</v>
      </c>
      <c r="J352">
        <v>7</v>
      </c>
      <c r="K352">
        <v>4</v>
      </c>
    </row>
    <row r="353" spans="1:11">
      <c r="A353">
        <v>345</v>
      </c>
      <c r="B353" t="s">
        <v>72</v>
      </c>
      <c r="C353" t="s">
        <v>12</v>
      </c>
      <c r="D353">
        <v>4</v>
      </c>
      <c r="E353">
        <v>85</v>
      </c>
      <c r="F353">
        <v>80</v>
      </c>
      <c r="G353">
        <v>82</v>
      </c>
      <c r="H353">
        <v>84</v>
      </c>
      <c r="I353" t="s">
        <v>13</v>
      </c>
      <c r="J353">
        <v>7</v>
      </c>
      <c r="K353">
        <v>3</v>
      </c>
    </row>
    <row r="354" spans="1:11">
      <c r="A354">
        <v>346</v>
      </c>
      <c r="B354" t="s">
        <v>30</v>
      </c>
      <c r="C354" t="s">
        <v>15</v>
      </c>
      <c r="D354">
        <v>6</v>
      </c>
      <c r="E354">
        <v>94</v>
      </c>
      <c r="F354">
        <v>91</v>
      </c>
      <c r="G354">
        <v>90</v>
      </c>
      <c r="H354">
        <v>92</v>
      </c>
      <c r="I354" t="s">
        <v>16</v>
      </c>
      <c r="J354">
        <v>6</v>
      </c>
      <c r="K354">
        <v>2</v>
      </c>
    </row>
    <row r="355" spans="1:11">
      <c r="A355">
        <v>347</v>
      </c>
      <c r="C355" t="s">
        <v>15</v>
      </c>
      <c r="D355">
        <v>3</v>
      </c>
      <c r="E355">
        <v>79</v>
      </c>
      <c r="F355">
        <v>74</v>
      </c>
      <c r="G355">
        <v>72</v>
      </c>
      <c r="H355">
        <v>76</v>
      </c>
      <c r="I355" t="s">
        <v>13</v>
      </c>
      <c r="J355">
        <v>7</v>
      </c>
      <c r="K355">
        <v>4</v>
      </c>
    </row>
    <row r="356" spans="1:11">
      <c r="A356">
        <v>348</v>
      </c>
      <c r="B356" t="s">
        <v>85</v>
      </c>
      <c r="C356" t="s">
        <v>12</v>
      </c>
      <c r="D356">
        <v>2</v>
      </c>
      <c r="E356">
        <v>70</v>
      </c>
      <c r="F356">
        <v>62</v>
      </c>
      <c r="G356">
        <v>60</v>
      </c>
      <c r="H356">
        <v>66</v>
      </c>
      <c r="I356" t="s">
        <v>16</v>
      </c>
      <c r="J356">
        <v>8</v>
      </c>
      <c r="K356">
        <v>5</v>
      </c>
    </row>
    <row r="357" spans="1:11">
      <c r="A357">
        <v>349</v>
      </c>
      <c r="B357" t="s">
        <v>144</v>
      </c>
      <c r="C357" t="s">
        <v>15</v>
      </c>
      <c r="D357">
        <v>5</v>
      </c>
      <c r="E357">
        <v>90</v>
      </c>
      <c r="F357">
        <v>86</v>
      </c>
      <c r="G357">
        <v>88</v>
      </c>
      <c r="H357">
        <v>89</v>
      </c>
      <c r="I357" t="s">
        <v>13</v>
      </c>
      <c r="J357">
        <v>6</v>
      </c>
      <c r="K357">
        <v>2</v>
      </c>
    </row>
    <row r="358" spans="1:11">
      <c r="A358">
        <v>350</v>
      </c>
      <c r="B358" t="s">
        <v>147</v>
      </c>
      <c r="C358" t="s">
        <v>12</v>
      </c>
      <c r="D358">
        <v>3</v>
      </c>
      <c r="E358">
        <v>82</v>
      </c>
      <c r="F358">
        <v>76</v>
      </c>
      <c r="G358">
        <v>75</v>
      </c>
      <c r="H358">
        <v>80</v>
      </c>
      <c r="I358" t="s">
        <v>16</v>
      </c>
      <c r="J358">
        <v>7</v>
      </c>
      <c r="K358">
        <v>4</v>
      </c>
    </row>
    <row r="359" spans="1:11">
      <c r="A359">
        <v>351</v>
      </c>
      <c r="B359" t="s">
        <v>40</v>
      </c>
      <c r="C359" t="s">
        <v>15</v>
      </c>
      <c r="D359">
        <v>4</v>
      </c>
      <c r="E359">
        <v>87</v>
      </c>
      <c r="F359">
        <v>83</v>
      </c>
      <c r="G359">
        <v>81</v>
      </c>
      <c r="H359">
        <v>85</v>
      </c>
      <c r="I359" t="s">
        <v>13</v>
      </c>
      <c r="J359">
        <v>6</v>
      </c>
      <c r="K359">
        <v>3</v>
      </c>
    </row>
    <row r="360" spans="1:11">
      <c r="A360">
        <v>352</v>
      </c>
      <c r="B360" t="s">
        <v>91</v>
      </c>
      <c r="C360" t="s">
        <v>15</v>
      </c>
      <c r="D360">
        <v>2</v>
      </c>
      <c r="E360">
        <v>68</v>
      </c>
      <c r="F360">
        <v>60</v>
      </c>
      <c r="G360">
        <v>58</v>
      </c>
      <c r="H360">
        <v>64</v>
      </c>
      <c r="I360" t="s">
        <v>16</v>
      </c>
      <c r="J360">
        <v>8</v>
      </c>
      <c r="K360">
        <v>5</v>
      </c>
    </row>
    <row r="361" spans="1:11">
      <c r="A361">
        <v>353</v>
      </c>
      <c r="B361" t="s">
        <v>55</v>
      </c>
      <c r="C361" t="s">
        <v>12</v>
      </c>
      <c r="D361">
        <v>5</v>
      </c>
      <c r="E361">
        <v>92</v>
      </c>
      <c r="F361">
        <v>88</v>
      </c>
      <c r="G361">
        <v>90</v>
      </c>
      <c r="H361">
        <v>91</v>
      </c>
      <c r="I361" t="s">
        <v>13</v>
      </c>
      <c r="J361">
        <v>6</v>
      </c>
      <c r="K361">
        <v>2</v>
      </c>
    </row>
    <row r="362" spans="1:11">
      <c r="A362">
        <v>354</v>
      </c>
      <c r="B362" t="s">
        <v>57</v>
      </c>
      <c r="C362" t="s">
        <v>12</v>
      </c>
      <c r="D362">
        <v>3</v>
      </c>
      <c r="E362">
        <v>78</v>
      </c>
      <c r="F362">
        <v>72</v>
      </c>
      <c r="G362">
        <v>70</v>
      </c>
      <c r="H362">
        <v>75</v>
      </c>
      <c r="I362" t="s">
        <v>13</v>
      </c>
      <c r="J362">
        <v>7</v>
      </c>
      <c r="K362">
        <v>4</v>
      </c>
    </row>
    <row r="363" spans="1:11">
      <c r="A363">
        <v>355</v>
      </c>
      <c r="B363" t="s">
        <v>60</v>
      </c>
      <c r="C363" t="s">
        <v>15</v>
      </c>
      <c r="D363">
        <v>4</v>
      </c>
      <c r="E363">
        <v>85</v>
      </c>
      <c r="F363">
        <v>80</v>
      </c>
      <c r="G363">
        <v>82</v>
      </c>
      <c r="H363">
        <v>84</v>
      </c>
      <c r="I363" t="s">
        <v>13</v>
      </c>
      <c r="J363">
        <v>7</v>
      </c>
      <c r="K363">
        <v>3</v>
      </c>
    </row>
    <row r="364" spans="1:11">
      <c r="A364">
        <v>356</v>
      </c>
      <c r="B364" t="s">
        <v>51</v>
      </c>
      <c r="C364" t="s">
        <v>12</v>
      </c>
      <c r="D364">
        <v>6</v>
      </c>
      <c r="E364">
        <v>94</v>
      </c>
      <c r="F364">
        <v>91</v>
      </c>
      <c r="G364">
        <v>90</v>
      </c>
      <c r="H364">
        <v>92</v>
      </c>
      <c r="I364" t="s">
        <v>16</v>
      </c>
      <c r="J364">
        <v>6</v>
      </c>
      <c r="K364">
        <v>2</v>
      </c>
    </row>
    <row r="365" spans="1:11">
      <c r="A365">
        <v>357</v>
      </c>
      <c r="B365" t="s">
        <v>54</v>
      </c>
      <c r="C365" t="s">
        <v>15</v>
      </c>
      <c r="D365">
        <v>3</v>
      </c>
      <c r="E365">
        <v>79</v>
      </c>
      <c r="F365">
        <v>74</v>
      </c>
      <c r="G365">
        <v>72</v>
      </c>
      <c r="H365">
        <v>76</v>
      </c>
      <c r="I365" t="s">
        <v>13</v>
      </c>
      <c r="J365">
        <v>7</v>
      </c>
      <c r="K365">
        <v>4</v>
      </c>
    </row>
    <row r="366" spans="1:11">
      <c r="A366">
        <v>358</v>
      </c>
      <c r="B366" t="s">
        <v>19</v>
      </c>
      <c r="C366" t="s">
        <v>12</v>
      </c>
      <c r="D366">
        <v>2</v>
      </c>
      <c r="E366">
        <v>70</v>
      </c>
      <c r="F366">
        <v>62</v>
      </c>
      <c r="G366">
        <v>60</v>
      </c>
      <c r="H366">
        <v>66</v>
      </c>
      <c r="I366" t="s">
        <v>16</v>
      </c>
      <c r="J366">
        <v>8</v>
      </c>
      <c r="K366">
        <v>5</v>
      </c>
    </row>
    <row r="367" spans="1:11">
      <c r="A367">
        <v>359</v>
      </c>
      <c r="B367" t="s">
        <v>14</v>
      </c>
      <c r="C367" t="s">
        <v>15</v>
      </c>
      <c r="D367">
        <v>5</v>
      </c>
      <c r="E367">
        <v>90</v>
      </c>
      <c r="F367">
        <v>86</v>
      </c>
      <c r="G367">
        <v>88</v>
      </c>
      <c r="H367">
        <v>89</v>
      </c>
      <c r="I367" t="s">
        <v>13</v>
      </c>
      <c r="J367">
        <v>6</v>
      </c>
      <c r="K367">
        <v>2</v>
      </c>
    </row>
    <row r="368" spans="1:11">
      <c r="A368">
        <v>360</v>
      </c>
      <c r="B368" t="s">
        <v>11</v>
      </c>
      <c r="C368" t="s">
        <v>12</v>
      </c>
      <c r="D368">
        <v>3</v>
      </c>
      <c r="E368">
        <v>82</v>
      </c>
      <c r="F368">
        <v>76</v>
      </c>
      <c r="G368">
        <v>75</v>
      </c>
      <c r="H368">
        <v>80</v>
      </c>
      <c r="I368" t="s">
        <v>16</v>
      </c>
      <c r="J368">
        <v>7</v>
      </c>
      <c r="K368">
        <v>4</v>
      </c>
    </row>
    <row r="369" spans="1:11">
      <c r="A369">
        <v>361</v>
      </c>
      <c r="B369" t="s">
        <v>71</v>
      </c>
      <c r="C369" t="s">
        <v>12</v>
      </c>
      <c r="D369">
        <v>3</v>
      </c>
      <c r="E369">
        <v>78</v>
      </c>
      <c r="F369">
        <v>72</v>
      </c>
      <c r="G369">
        <v>70</v>
      </c>
      <c r="H369">
        <v>75</v>
      </c>
      <c r="I369" t="s">
        <v>13</v>
      </c>
      <c r="J369">
        <v>7</v>
      </c>
      <c r="K369">
        <v>4</v>
      </c>
    </row>
    <row r="370" spans="1:11">
      <c r="A370">
        <v>362</v>
      </c>
      <c r="B370" t="s">
        <v>52</v>
      </c>
      <c r="C370" t="s">
        <v>15</v>
      </c>
      <c r="D370">
        <v>4</v>
      </c>
      <c r="E370">
        <v>85</v>
      </c>
      <c r="F370">
        <v>80</v>
      </c>
      <c r="G370">
        <v>82</v>
      </c>
      <c r="H370">
        <v>84</v>
      </c>
      <c r="I370" t="s">
        <v>13</v>
      </c>
      <c r="J370">
        <v>7</v>
      </c>
      <c r="K370">
        <v>3</v>
      </c>
    </row>
    <row r="371" spans="1:11">
      <c r="A371">
        <v>363</v>
      </c>
      <c r="B371" t="s">
        <v>68</v>
      </c>
      <c r="C371" t="s">
        <v>69</v>
      </c>
      <c r="D371">
        <v>4</v>
      </c>
      <c r="E371">
        <v>88</v>
      </c>
      <c r="F371">
        <v>82</v>
      </c>
      <c r="G371">
        <v>79</v>
      </c>
      <c r="H371">
        <v>85</v>
      </c>
      <c r="I371" t="s">
        <v>70</v>
      </c>
      <c r="J371">
        <v>7</v>
      </c>
      <c r="K371">
        <v>3</v>
      </c>
    </row>
    <row r="372" spans="1:11">
      <c r="A372">
        <v>364</v>
      </c>
      <c r="B372" t="s">
        <v>65</v>
      </c>
      <c r="C372" t="s">
        <v>66</v>
      </c>
      <c r="D372">
        <v>3</v>
      </c>
      <c r="E372">
        <v>85</v>
      </c>
      <c r="F372">
        <v>78</v>
      </c>
      <c r="G372">
        <v>72</v>
      </c>
      <c r="H372">
        <v>80</v>
      </c>
      <c r="I372" t="s">
        <v>67</v>
      </c>
      <c r="J372">
        <v>7</v>
      </c>
      <c r="K372">
        <v>3</v>
      </c>
    </row>
    <row r="373" spans="1:11">
      <c r="A373">
        <v>365</v>
      </c>
      <c r="B373" t="s">
        <v>154</v>
      </c>
      <c r="C373" t="s">
        <v>15</v>
      </c>
      <c r="E373">
        <v>85</v>
      </c>
      <c r="F373">
        <v>80</v>
      </c>
      <c r="G373">
        <v>82</v>
      </c>
      <c r="H373">
        <v>84</v>
      </c>
      <c r="I373" t="s">
        <v>13</v>
      </c>
      <c r="J373">
        <v>7</v>
      </c>
      <c r="K373">
        <v>3</v>
      </c>
    </row>
    <row r="374" spans="1:11">
      <c r="A374">
        <v>366</v>
      </c>
      <c r="B374" t="s">
        <v>39</v>
      </c>
      <c r="C374" t="s">
        <v>12</v>
      </c>
      <c r="D374">
        <v>2</v>
      </c>
      <c r="E374">
        <v>70</v>
      </c>
      <c r="F374">
        <v>62</v>
      </c>
      <c r="G374">
        <v>60</v>
      </c>
      <c r="H374">
        <v>66</v>
      </c>
      <c r="I374" t="s">
        <v>16</v>
      </c>
      <c r="J374">
        <v>8</v>
      </c>
      <c r="K374">
        <v>5</v>
      </c>
    </row>
    <row r="375" spans="1:11">
      <c r="A375">
        <v>367</v>
      </c>
      <c r="B375" t="s">
        <v>28</v>
      </c>
      <c r="C375" t="s">
        <v>15</v>
      </c>
      <c r="D375">
        <v>5</v>
      </c>
      <c r="E375">
        <v>92</v>
      </c>
      <c r="F375">
        <v>88</v>
      </c>
      <c r="G375">
        <v>90</v>
      </c>
      <c r="H375">
        <v>91</v>
      </c>
      <c r="I375" t="s">
        <v>13</v>
      </c>
      <c r="J375">
        <v>6</v>
      </c>
      <c r="K375">
        <v>2</v>
      </c>
    </row>
    <row r="376" spans="1:11">
      <c r="A376">
        <v>368</v>
      </c>
      <c r="B376" t="s">
        <v>53</v>
      </c>
      <c r="C376" t="s">
        <v>12</v>
      </c>
      <c r="D376">
        <v>1</v>
      </c>
      <c r="E376">
        <v>62</v>
      </c>
      <c r="F376">
        <v>52</v>
      </c>
      <c r="G376">
        <v>50</v>
      </c>
      <c r="H376">
        <v>57</v>
      </c>
      <c r="I376" t="s">
        <v>16</v>
      </c>
      <c r="J376">
        <v>8</v>
      </c>
      <c r="K376">
        <v>6</v>
      </c>
    </row>
    <row r="377" spans="1:11">
      <c r="A377">
        <v>369</v>
      </c>
      <c r="B377" t="s">
        <v>22</v>
      </c>
      <c r="C377" t="s">
        <v>15</v>
      </c>
      <c r="D377">
        <v>4</v>
      </c>
      <c r="E377">
        <v>87</v>
      </c>
      <c r="F377">
        <v>83</v>
      </c>
      <c r="G377">
        <v>81</v>
      </c>
      <c r="H377">
        <v>85</v>
      </c>
      <c r="I377" t="s">
        <v>13</v>
      </c>
      <c r="J377">
        <v>6</v>
      </c>
      <c r="K377">
        <v>3</v>
      </c>
    </row>
    <row r="378" spans="1:11">
      <c r="A378">
        <v>370</v>
      </c>
      <c r="B378" t="s">
        <v>157</v>
      </c>
      <c r="C378" t="s">
        <v>12</v>
      </c>
      <c r="D378">
        <v>2</v>
      </c>
      <c r="E378">
        <v>68</v>
      </c>
      <c r="F378">
        <v>60</v>
      </c>
      <c r="G378">
        <v>58</v>
      </c>
      <c r="H378">
        <v>64</v>
      </c>
      <c r="I378" t="s">
        <v>16</v>
      </c>
      <c r="J378">
        <v>8</v>
      </c>
      <c r="K378">
        <v>5</v>
      </c>
    </row>
    <row r="379" spans="1:11">
      <c r="A379">
        <v>371</v>
      </c>
      <c r="B379" t="s">
        <v>34</v>
      </c>
      <c r="C379" t="s">
        <v>15</v>
      </c>
      <c r="D379">
        <v>5</v>
      </c>
      <c r="E379">
        <v>92</v>
      </c>
      <c r="F379">
        <v>88</v>
      </c>
      <c r="G379">
        <v>90</v>
      </c>
      <c r="H379">
        <v>91</v>
      </c>
      <c r="I379" t="s">
        <v>13</v>
      </c>
      <c r="J379">
        <v>6</v>
      </c>
      <c r="K379">
        <v>2</v>
      </c>
    </row>
    <row r="380" spans="1:11">
      <c r="A380">
        <v>372</v>
      </c>
      <c r="B380" t="s">
        <v>82</v>
      </c>
      <c r="C380" t="s">
        <v>12</v>
      </c>
      <c r="D380">
        <v>3</v>
      </c>
      <c r="E380">
        <v>78</v>
      </c>
      <c r="F380">
        <v>72</v>
      </c>
      <c r="G380">
        <v>70</v>
      </c>
      <c r="H380">
        <v>75</v>
      </c>
      <c r="I380" t="s">
        <v>13</v>
      </c>
      <c r="J380">
        <v>7</v>
      </c>
      <c r="K380">
        <v>4</v>
      </c>
    </row>
    <row r="381" spans="1:11">
      <c r="A381">
        <v>373</v>
      </c>
      <c r="B381" t="s">
        <v>50</v>
      </c>
      <c r="C381" t="s">
        <v>15</v>
      </c>
      <c r="D381">
        <v>4</v>
      </c>
      <c r="E381">
        <v>85</v>
      </c>
      <c r="F381">
        <v>80</v>
      </c>
      <c r="G381">
        <v>82</v>
      </c>
      <c r="H381">
        <v>84</v>
      </c>
      <c r="I381" t="s">
        <v>13</v>
      </c>
      <c r="J381">
        <v>7</v>
      </c>
      <c r="K381">
        <v>3</v>
      </c>
    </row>
    <row r="382" spans="1:11">
      <c r="A382">
        <v>374</v>
      </c>
      <c r="B382" t="s">
        <v>111</v>
      </c>
      <c r="C382" t="s">
        <v>12</v>
      </c>
      <c r="D382">
        <v>6</v>
      </c>
      <c r="E382">
        <v>94</v>
      </c>
      <c r="F382">
        <v>91</v>
      </c>
      <c r="G382">
        <v>90</v>
      </c>
      <c r="H382">
        <v>92</v>
      </c>
      <c r="I382" t="s">
        <v>16</v>
      </c>
      <c r="J382">
        <v>6</v>
      </c>
      <c r="K382">
        <v>2</v>
      </c>
    </row>
    <row r="383" spans="1:11">
      <c r="A383">
        <v>375</v>
      </c>
      <c r="C383" t="s">
        <v>15</v>
      </c>
      <c r="D383">
        <v>3</v>
      </c>
      <c r="E383">
        <v>79</v>
      </c>
      <c r="F383">
        <v>74</v>
      </c>
      <c r="G383">
        <v>72</v>
      </c>
      <c r="H383">
        <v>76</v>
      </c>
      <c r="I383" t="s">
        <v>13</v>
      </c>
      <c r="J383">
        <v>7</v>
      </c>
      <c r="K383">
        <v>4</v>
      </c>
    </row>
    <row r="384" spans="1:11">
      <c r="A384">
        <v>376</v>
      </c>
      <c r="B384" t="s">
        <v>33</v>
      </c>
      <c r="C384" t="s">
        <v>12</v>
      </c>
      <c r="D384">
        <v>2</v>
      </c>
      <c r="E384">
        <v>70</v>
      </c>
      <c r="F384">
        <v>62</v>
      </c>
      <c r="G384">
        <v>60</v>
      </c>
      <c r="H384">
        <v>66</v>
      </c>
      <c r="I384" t="s">
        <v>16</v>
      </c>
      <c r="J384">
        <v>8</v>
      </c>
      <c r="K384">
        <v>5</v>
      </c>
    </row>
    <row r="385" spans="1:11">
      <c r="A385">
        <v>377</v>
      </c>
      <c r="B385" t="s">
        <v>56</v>
      </c>
      <c r="C385" t="s">
        <v>15</v>
      </c>
      <c r="D385">
        <v>5</v>
      </c>
      <c r="E385">
        <v>90</v>
      </c>
      <c r="F385">
        <v>86</v>
      </c>
      <c r="G385">
        <v>88</v>
      </c>
      <c r="H385">
        <v>89</v>
      </c>
      <c r="I385" t="s">
        <v>13</v>
      </c>
      <c r="J385">
        <v>6</v>
      </c>
      <c r="K385">
        <v>2</v>
      </c>
    </row>
    <row r="386" spans="1:11">
      <c r="A386">
        <v>378</v>
      </c>
      <c r="B386" t="s">
        <v>27</v>
      </c>
      <c r="C386" t="s">
        <v>12</v>
      </c>
      <c r="D386">
        <v>3</v>
      </c>
      <c r="E386">
        <v>82</v>
      </c>
      <c r="F386">
        <v>76</v>
      </c>
      <c r="G386">
        <v>75</v>
      </c>
      <c r="H386">
        <v>80</v>
      </c>
      <c r="I386" t="s">
        <v>16</v>
      </c>
      <c r="J386">
        <v>7</v>
      </c>
      <c r="K386">
        <v>4</v>
      </c>
    </row>
    <row r="387" spans="1:11">
      <c r="A387">
        <v>379</v>
      </c>
      <c r="B387" t="s">
        <v>32</v>
      </c>
      <c r="C387" t="s">
        <v>15</v>
      </c>
      <c r="D387">
        <v>4</v>
      </c>
      <c r="E387">
        <v>87</v>
      </c>
      <c r="F387">
        <v>83</v>
      </c>
      <c r="G387">
        <v>81</v>
      </c>
      <c r="H387">
        <v>85</v>
      </c>
      <c r="I387" t="s">
        <v>13</v>
      </c>
      <c r="J387">
        <v>6</v>
      </c>
      <c r="K387">
        <v>3</v>
      </c>
    </row>
    <row r="388" spans="1:11">
      <c r="A388">
        <v>380</v>
      </c>
      <c r="B388" t="s">
        <v>35</v>
      </c>
      <c r="C388" t="s">
        <v>12</v>
      </c>
      <c r="D388">
        <v>2</v>
      </c>
      <c r="E388">
        <v>68</v>
      </c>
      <c r="F388">
        <v>60</v>
      </c>
      <c r="G388">
        <v>58</v>
      </c>
      <c r="H388">
        <v>64</v>
      </c>
      <c r="I388" t="s">
        <v>16</v>
      </c>
      <c r="J388">
        <v>8</v>
      </c>
      <c r="K388">
        <v>5</v>
      </c>
    </row>
    <row r="389" spans="1:11">
      <c r="A389">
        <v>381</v>
      </c>
      <c r="B389" t="s">
        <v>64</v>
      </c>
      <c r="C389" t="s">
        <v>15</v>
      </c>
      <c r="D389">
        <v>5</v>
      </c>
      <c r="E389">
        <v>92</v>
      </c>
      <c r="F389">
        <v>88</v>
      </c>
      <c r="G389">
        <v>90</v>
      </c>
      <c r="H389">
        <v>91</v>
      </c>
      <c r="I389" t="s">
        <v>13</v>
      </c>
      <c r="J389">
        <v>6</v>
      </c>
      <c r="K389">
        <v>2</v>
      </c>
    </row>
    <row r="390" spans="1:11">
      <c r="A390">
        <v>382</v>
      </c>
      <c r="B390" t="s">
        <v>49</v>
      </c>
      <c r="C390" t="s">
        <v>12</v>
      </c>
      <c r="D390">
        <v>3</v>
      </c>
      <c r="E390">
        <v>78</v>
      </c>
      <c r="F390">
        <v>72</v>
      </c>
      <c r="G390">
        <v>70</v>
      </c>
      <c r="H390">
        <v>75</v>
      </c>
      <c r="I390" t="s">
        <v>13</v>
      </c>
      <c r="J390">
        <v>7</v>
      </c>
      <c r="K390">
        <v>4</v>
      </c>
    </row>
    <row r="391" spans="1:11">
      <c r="A391">
        <v>383</v>
      </c>
      <c r="B391" t="s">
        <v>38</v>
      </c>
      <c r="C391" t="s">
        <v>15</v>
      </c>
      <c r="D391">
        <v>4</v>
      </c>
      <c r="E391">
        <v>85</v>
      </c>
      <c r="F391">
        <v>80</v>
      </c>
      <c r="G391">
        <v>82</v>
      </c>
      <c r="H391">
        <v>84</v>
      </c>
      <c r="I391" t="s">
        <v>13</v>
      </c>
      <c r="J391">
        <v>7</v>
      </c>
      <c r="K391">
        <v>3</v>
      </c>
    </row>
    <row r="392" spans="1:11">
      <c r="A392">
        <v>384</v>
      </c>
      <c r="B392" t="s">
        <v>164</v>
      </c>
      <c r="C392" t="s">
        <v>12</v>
      </c>
      <c r="D392">
        <v>6</v>
      </c>
      <c r="E392">
        <v>94</v>
      </c>
      <c r="F392">
        <v>91</v>
      </c>
      <c r="G392">
        <v>90</v>
      </c>
      <c r="H392">
        <v>92</v>
      </c>
      <c r="I392" t="s">
        <v>16</v>
      </c>
      <c r="J392">
        <v>6</v>
      </c>
      <c r="K392">
        <v>2</v>
      </c>
    </row>
    <row r="393" spans="1:11">
      <c r="A393">
        <v>385</v>
      </c>
      <c r="B393" t="s">
        <v>36</v>
      </c>
      <c r="C393" t="s">
        <v>15</v>
      </c>
      <c r="D393">
        <v>3</v>
      </c>
      <c r="E393">
        <v>79</v>
      </c>
      <c r="F393">
        <v>74</v>
      </c>
      <c r="G393">
        <v>72</v>
      </c>
      <c r="H393">
        <v>76</v>
      </c>
      <c r="I393" t="s">
        <v>13</v>
      </c>
      <c r="J393">
        <v>7</v>
      </c>
      <c r="K393">
        <v>4</v>
      </c>
    </row>
    <row r="394" spans="1:11">
      <c r="A394">
        <v>386</v>
      </c>
      <c r="B394" t="s">
        <v>23</v>
      </c>
      <c r="C394" t="s">
        <v>12</v>
      </c>
      <c r="D394">
        <v>2</v>
      </c>
      <c r="E394">
        <v>70</v>
      </c>
      <c r="F394">
        <v>62</v>
      </c>
      <c r="G394">
        <v>60</v>
      </c>
      <c r="H394">
        <v>66</v>
      </c>
      <c r="I394" t="s">
        <v>16</v>
      </c>
      <c r="J394">
        <v>8</v>
      </c>
      <c r="K394">
        <v>5</v>
      </c>
    </row>
    <row r="395" spans="1:11">
      <c r="A395">
        <v>387</v>
      </c>
      <c r="B395" t="s">
        <v>58</v>
      </c>
      <c r="C395" t="s">
        <v>15</v>
      </c>
      <c r="D395">
        <v>5</v>
      </c>
      <c r="E395">
        <v>90</v>
      </c>
      <c r="F395">
        <v>86</v>
      </c>
      <c r="G395">
        <v>88</v>
      </c>
      <c r="H395">
        <v>89</v>
      </c>
      <c r="I395" t="s">
        <v>13</v>
      </c>
      <c r="J395">
        <v>6</v>
      </c>
      <c r="K395">
        <v>2</v>
      </c>
    </row>
    <row r="396" spans="1:11">
      <c r="A396">
        <v>388</v>
      </c>
      <c r="B396" t="s">
        <v>59</v>
      </c>
      <c r="C396" t="s">
        <v>12</v>
      </c>
      <c r="D396">
        <v>3</v>
      </c>
      <c r="E396">
        <v>82</v>
      </c>
      <c r="F396">
        <v>76</v>
      </c>
      <c r="G396">
        <v>75</v>
      </c>
      <c r="H396">
        <v>80</v>
      </c>
      <c r="I396" t="s">
        <v>16</v>
      </c>
      <c r="J396">
        <v>7</v>
      </c>
      <c r="K396">
        <v>4</v>
      </c>
    </row>
    <row r="397" spans="1:11">
      <c r="A397">
        <v>389</v>
      </c>
      <c r="B397" t="s">
        <v>155</v>
      </c>
      <c r="C397" t="s">
        <v>15</v>
      </c>
      <c r="D397">
        <v>4</v>
      </c>
      <c r="E397">
        <v>87</v>
      </c>
      <c r="F397">
        <v>83</v>
      </c>
      <c r="G397">
        <v>81</v>
      </c>
      <c r="H397">
        <v>85</v>
      </c>
      <c r="I397" t="s">
        <v>13</v>
      </c>
      <c r="J397">
        <v>6</v>
      </c>
      <c r="K397">
        <v>3</v>
      </c>
    </row>
    <row r="398" spans="1:11">
      <c r="A398">
        <v>390</v>
      </c>
      <c r="B398" t="s">
        <v>45</v>
      </c>
      <c r="C398" t="s">
        <v>12</v>
      </c>
      <c r="D398">
        <v>2</v>
      </c>
      <c r="E398">
        <v>68</v>
      </c>
      <c r="F398">
        <v>60</v>
      </c>
      <c r="G398">
        <v>58</v>
      </c>
      <c r="H398">
        <v>64</v>
      </c>
      <c r="I398" t="s">
        <v>16</v>
      </c>
      <c r="J398">
        <v>8</v>
      </c>
      <c r="K398">
        <v>5</v>
      </c>
    </row>
    <row r="399" spans="1:11">
      <c r="A399">
        <v>391</v>
      </c>
      <c r="B399" t="s">
        <v>40</v>
      </c>
      <c r="C399" t="s">
        <v>15</v>
      </c>
      <c r="D399">
        <v>5</v>
      </c>
      <c r="E399">
        <v>92</v>
      </c>
      <c r="F399">
        <v>88</v>
      </c>
      <c r="G399">
        <v>90</v>
      </c>
      <c r="H399">
        <v>91</v>
      </c>
      <c r="I399" t="s">
        <v>13</v>
      </c>
      <c r="J399">
        <v>6</v>
      </c>
      <c r="K399">
        <v>2</v>
      </c>
    </row>
    <row r="400" spans="1:11">
      <c r="A400">
        <v>392</v>
      </c>
      <c r="B400" t="s">
        <v>63</v>
      </c>
      <c r="C400" t="s">
        <v>12</v>
      </c>
      <c r="D400">
        <v>3</v>
      </c>
      <c r="E400">
        <v>78</v>
      </c>
      <c r="F400">
        <v>72</v>
      </c>
      <c r="G400">
        <v>70</v>
      </c>
      <c r="H400">
        <v>75</v>
      </c>
      <c r="I400" t="s">
        <v>13</v>
      </c>
      <c r="J400">
        <v>7</v>
      </c>
      <c r="K400">
        <v>4</v>
      </c>
    </row>
    <row r="401" spans="1:11">
      <c r="A401">
        <v>393</v>
      </c>
      <c r="B401" t="s">
        <v>72</v>
      </c>
      <c r="C401" t="s">
        <v>12</v>
      </c>
      <c r="D401">
        <v>4</v>
      </c>
      <c r="E401">
        <v>85</v>
      </c>
      <c r="F401">
        <v>80</v>
      </c>
      <c r="G401">
        <v>82</v>
      </c>
      <c r="H401">
        <v>84</v>
      </c>
      <c r="I401" t="s">
        <v>13</v>
      </c>
      <c r="J401">
        <v>7</v>
      </c>
      <c r="K401">
        <v>3</v>
      </c>
    </row>
    <row r="402" spans="1:11">
      <c r="A402">
        <v>394</v>
      </c>
      <c r="B402" t="s">
        <v>30</v>
      </c>
      <c r="C402" t="s">
        <v>15</v>
      </c>
      <c r="D402">
        <v>6</v>
      </c>
      <c r="E402">
        <v>94</v>
      </c>
      <c r="F402">
        <v>91</v>
      </c>
      <c r="G402">
        <v>90</v>
      </c>
      <c r="H402">
        <v>92</v>
      </c>
      <c r="I402" t="s">
        <v>16</v>
      </c>
      <c r="J402">
        <v>6</v>
      </c>
      <c r="K402">
        <v>2</v>
      </c>
    </row>
    <row r="403" spans="1:11">
      <c r="A403">
        <v>395</v>
      </c>
      <c r="B403" t="s">
        <v>85</v>
      </c>
      <c r="C403" t="s">
        <v>12</v>
      </c>
      <c r="D403">
        <v>2</v>
      </c>
      <c r="E403">
        <v>70</v>
      </c>
      <c r="F403">
        <v>62</v>
      </c>
      <c r="G403">
        <v>60</v>
      </c>
      <c r="H403">
        <v>66</v>
      </c>
      <c r="I403" t="s">
        <v>16</v>
      </c>
      <c r="J403">
        <v>8</v>
      </c>
      <c r="K403">
        <v>5</v>
      </c>
    </row>
    <row r="404" spans="1:11">
      <c r="A404">
        <v>396</v>
      </c>
      <c r="B404" t="s">
        <v>144</v>
      </c>
      <c r="C404" t="s">
        <v>15</v>
      </c>
      <c r="D404">
        <v>5</v>
      </c>
      <c r="E404">
        <v>90</v>
      </c>
      <c r="F404">
        <v>86</v>
      </c>
      <c r="G404">
        <v>88</v>
      </c>
      <c r="H404">
        <v>89</v>
      </c>
      <c r="I404" t="s">
        <v>13</v>
      </c>
      <c r="J404">
        <v>6</v>
      </c>
      <c r="K404">
        <v>2</v>
      </c>
    </row>
    <row r="405" spans="1:11">
      <c r="A405">
        <v>397</v>
      </c>
      <c r="B405" t="s">
        <v>147</v>
      </c>
      <c r="C405" t="s">
        <v>12</v>
      </c>
      <c r="D405">
        <v>3</v>
      </c>
      <c r="E405">
        <v>82</v>
      </c>
      <c r="F405">
        <v>76</v>
      </c>
      <c r="G405">
        <v>75</v>
      </c>
      <c r="H405">
        <v>80</v>
      </c>
      <c r="I405" t="s">
        <v>16</v>
      </c>
      <c r="J405">
        <v>7</v>
      </c>
      <c r="K405">
        <v>4</v>
      </c>
    </row>
    <row r="406" spans="1:11">
      <c r="A406">
        <v>398</v>
      </c>
      <c r="B406" t="s">
        <v>40</v>
      </c>
      <c r="C406" t="s">
        <v>15</v>
      </c>
      <c r="D406">
        <v>4</v>
      </c>
      <c r="E406">
        <v>87</v>
      </c>
      <c r="F406">
        <v>83</v>
      </c>
      <c r="G406">
        <v>81</v>
      </c>
      <c r="H406">
        <v>85</v>
      </c>
      <c r="I406" t="s">
        <v>13</v>
      </c>
      <c r="J406">
        <v>6</v>
      </c>
      <c r="K406">
        <v>3</v>
      </c>
    </row>
    <row r="407" spans="1:11">
      <c r="A407">
        <v>399</v>
      </c>
      <c r="B407" t="s">
        <v>91</v>
      </c>
      <c r="C407" t="s">
        <v>15</v>
      </c>
      <c r="D407">
        <v>2</v>
      </c>
      <c r="E407">
        <v>68</v>
      </c>
      <c r="F407">
        <v>60</v>
      </c>
      <c r="G407">
        <v>58</v>
      </c>
      <c r="H407">
        <v>64</v>
      </c>
      <c r="I407" t="s">
        <v>16</v>
      </c>
      <c r="J407">
        <v>8</v>
      </c>
      <c r="K407">
        <v>5</v>
      </c>
    </row>
    <row r="408" spans="1:11">
      <c r="A408">
        <v>400</v>
      </c>
      <c r="B408" t="s">
        <v>55</v>
      </c>
      <c r="C408" t="s">
        <v>12</v>
      </c>
      <c r="D408">
        <v>5</v>
      </c>
      <c r="E408">
        <v>92</v>
      </c>
      <c r="F408">
        <v>88</v>
      </c>
      <c r="G408">
        <v>90</v>
      </c>
      <c r="H408">
        <v>91</v>
      </c>
      <c r="I408" t="s">
        <v>13</v>
      </c>
      <c r="J408">
        <v>6</v>
      </c>
      <c r="K408">
        <v>2</v>
      </c>
    </row>
    <row r="409" spans="1:11">
      <c r="A409">
        <v>401</v>
      </c>
      <c r="B409" t="s">
        <v>75</v>
      </c>
      <c r="C409" t="s">
        <v>12</v>
      </c>
      <c r="D409">
        <v>3</v>
      </c>
      <c r="E409">
        <v>80</v>
      </c>
      <c r="F409">
        <v>75</v>
      </c>
      <c r="G409">
        <v>73</v>
      </c>
      <c r="H409">
        <v>78</v>
      </c>
      <c r="I409" t="s">
        <v>13</v>
      </c>
      <c r="J409">
        <v>7</v>
      </c>
      <c r="K409">
        <v>4</v>
      </c>
    </row>
    <row r="410" spans="1:11">
      <c r="A410">
        <v>402</v>
      </c>
      <c r="B410" t="s">
        <v>158</v>
      </c>
      <c r="C410" t="s">
        <v>159</v>
      </c>
      <c r="D410">
        <v>5</v>
      </c>
      <c r="E410">
        <v>90</v>
      </c>
      <c r="F410">
        <v>86</v>
      </c>
      <c r="G410">
        <v>88</v>
      </c>
      <c r="H410">
        <v>89</v>
      </c>
      <c r="I410" t="s">
        <v>67</v>
      </c>
      <c r="J410">
        <v>6</v>
      </c>
      <c r="K410">
        <v>2</v>
      </c>
    </row>
    <row r="411" spans="1:11">
      <c r="A411">
        <v>403</v>
      </c>
      <c r="B411" t="s">
        <v>63</v>
      </c>
      <c r="C411" t="s">
        <v>12</v>
      </c>
      <c r="E411">
        <v>85</v>
      </c>
      <c r="F411">
        <v>80</v>
      </c>
      <c r="G411">
        <v>82</v>
      </c>
      <c r="H411">
        <v>84</v>
      </c>
      <c r="I411" t="s">
        <v>13</v>
      </c>
      <c r="J411">
        <v>7</v>
      </c>
      <c r="K411">
        <v>3</v>
      </c>
    </row>
    <row r="412" spans="1:11">
      <c r="A412">
        <v>404</v>
      </c>
      <c r="B412" t="s">
        <v>160</v>
      </c>
      <c r="C412" t="s">
        <v>161</v>
      </c>
      <c r="D412">
        <v>2</v>
      </c>
      <c r="E412">
        <v>70</v>
      </c>
      <c r="F412">
        <v>62</v>
      </c>
      <c r="G412">
        <v>60</v>
      </c>
      <c r="H412">
        <v>66</v>
      </c>
      <c r="I412" t="s">
        <v>162</v>
      </c>
      <c r="J412">
        <v>8</v>
      </c>
      <c r="K412">
        <v>5</v>
      </c>
    </row>
    <row r="413" spans="1:11">
      <c r="A413">
        <v>405</v>
      </c>
      <c r="B413" t="s">
        <v>40</v>
      </c>
      <c r="C413" t="s">
        <v>15</v>
      </c>
      <c r="D413">
        <v>5</v>
      </c>
      <c r="E413">
        <v>92</v>
      </c>
      <c r="F413">
        <v>88</v>
      </c>
      <c r="G413">
        <v>90</v>
      </c>
      <c r="H413">
        <v>91</v>
      </c>
      <c r="I413" t="s">
        <v>13</v>
      </c>
      <c r="K413">
        <v>2</v>
      </c>
    </row>
    <row r="414" spans="1:11">
      <c r="A414">
        <v>406</v>
      </c>
      <c r="B414" t="s">
        <v>71</v>
      </c>
      <c r="C414" t="s">
        <v>12</v>
      </c>
      <c r="D414">
        <v>3</v>
      </c>
      <c r="E414">
        <v>78</v>
      </c>
      <c r="F414">
        <v>72</v>
      </c>
      <c r="G414">
        <v>70</v>
      </c>
      <c r="H414">
        <v>75</v>
      </c>
      <c r="I414" t="s">
        <v>13</v>
      </c>
      <c r="J414">
        <v>7</v>
      </c>
      <c r="K414">
        <v>4</v>
      </c>
    </row>
    <row r="415" spans="1:11">
      <c r="A415">
        <v>407</v>
      </c>
      <c r="B415" t="s">
        <v>50</v>
      </c>
      <c r="C415" t="s">
        <v>15</v>
      </c>
      <c r="D415">
        <v>4</v>
      </c>
      <c r="E415">
        <v>87</v>
      </c>
      <c r="F415">
        <v>83</v>
      </c>
      <c r="G415">
        <v>81</v>
      </c>
      <c r="H415">
        <v>85</v>
      </c>
      <c r="I415" t="s">
        <v>13</v>
      </c>
      <c r="J415">
        <v>6</v>
      </c>
      <c r="K415">
        <v>3</v>
      </c>
    </row>
    <row r="416" spans="1:11">
      <c r="A416">
        <v>408</v>
      </c>
      <c r="C416" t="s">
        <v>12</v>
      </c>
      <c r="D416">
        <v>2</v>
      </c>
      <c r="E416">
        <v>68</v>
      </c>
      <c r="F416">
        <v>60</v>
      </c>
      <c r="G416">
        <v>58</v>
      </c>
      <c r="H416">
        <v>64</v>
      </c>
      <c r="I416" t="s">
        <v>16</v>
      </c>
      <c r="J416">
        <v>8</v>
      </c>
      <c r="K416">
        <v>5</v>
      </c>
    </row>
    <row r="417" spans="1:11">
      <c r="A417">
        <v>409</v>
      </c>
      <c r="B417" t="s">
        <v>154</v>
      </c>
      <c r="C417" t="s">
        <v>15</v>
      </c>
      <c r="D417">
        <v>5</v>
      </c>
      <c r="E417">
        <v>91</v>
      </c>
      <c r="F417">
        <v>87</v>
      </c>
      <c r="G417">
        <v>88</v>
      </c>
      <c r="H417">
        <v>90</v>
      </c>
      <c r="I417" t="s">
        <v>13</v>
      </c>
      <c r="J417">
        <v>6</v>
      </c>
      <c r="K417">
        <v>2</v>
      </c>
    </row>
    <row r="418" spans="1:11">
      <c r="A418">
        <v>410</v>
      </c>
      <c r="B418" t="s">
        <v>156</v>
      </c>
      <c r="C418" t="s">
        <v>12</v>
      </c>
      <c r="D418">
        <v>6</v>
      </c>
      <c r="E418">
        <v>94</v>
      </c>
      <c r="F418">
        <v>91</v>
      </c>
      <c r="G418">
        <v>90</v>
      </c>
      <c r="H418">
        <v>92</v>
      </c>
      <c r="I418" t="s">
        <v>16</v>
      </c>
      <c r="J418">
        <v>6</v>
      </c>
      <c r="K418">
        <v>2</v>
      </c>
    </row>
    <row r="419" spans="1:11">
      <c r="A419">
        <v>411</v>
      </c>
      <c r="B419" t="s">
        <v>37</v>
      </c>
      <c r="C419" t="s">
        <v>12</v>
      </c>
      <c r="D419">
        <v>3</v>
      </c>
      <c r="E419">
        <v>80</v>
      </c>
      <c r="F419">
        <v>75</v>
      </c>
      <c r="G419">
        <v>73</v>
      </c>
      <c r="H419">
        <v>78</v>
      </c>
      <c r="I419" t="s">
        <v>13</v>
      </c>
      <c r="J419">
        <v>7</v>
      </c>
      <c r="K419">
        <v>4</v>
      </c>
    </row>
    <row r="420" spans="1:11">
      <c r="A420">
        <v>412</v>
      </c>
      <c r="B420" t="s">
        <v>28</v>
      </c>
      <c r="C420" t="s">
        <v>15</v>
      </c>
      <c r="D420">
        <v>4</v>
      </c>
      <c r="E420">
        <v>85</v>
      </c>
      <c r="F420">
        <v>80</v>
      </c>
      <c r="G420">
        <v>82</v>
      </c>
      <c r="H420">
        <v>84</v>
      </c>
      <c r="I420" t="s">
        <v>13</v>
      </c>
      <c r="J420">
        <v>7</v>
      </c>
      <c r="K420">
        <v>3</v>
      </c>
    </row>
    <row r="421" spans="1:11">
      <c r="A421">
        <v>413</v>
      </c>
      <c r="B421" t="s">
        <v>39</v>
      </c>
      <c r="C421" t="s">
        <v>12</v>
      </c>
      <c r="D421">
        <v>2</v>
      </c>
      <c r="E421">
        <v>70</v>
      </c>
      <c r="F421">
        <v>62</v>
      </c>
      <c r="G421">
        <v>60</v>
      </c>
      <c r="H421">
        <v>66</v>
      </c>
      <c r="I421" t="s">
        <v>16</v>
      </c>
      <c r="J421">
        <v>8</v>
      </c>
      <c r="K421">
        <v>5</v>
      </c>
    </row>
    <row r="422" spans="1:11">
      <c r="A422">
        <v>414</v>
      </c>
      <c r="B422" t="s">
        <v>56</v>
      </c>
      <c r="C422" t="s">
        <v>15</v>
      </c>
      <c r="D422">
        <v>5</v>
      </c>
      <c r="E422">
        <v>92</v>
      </c>
      <c r="F422">
        <v>88</v>
      </c>
      <c r="G422">
        <v>90</v>
      </c>
      <c r="H422">
        <v>91</v>
      </c>
      <c r="I422" t="s">
        <v>13</v>
      </c>
      <c r="J422">
        <v>6</v>
      </c>
      <c r="K422">
        <v>2</v>
      </c>
    </row>
    <row r="423" spans="1:11">
      <c r="A423">
        <v>415</v>
      </c>
      <c r="B423" t="s">
        <v>53</v>
      </c>
      <c r="C423" t="s">
        <v>12</v>
      </c>
      <c r="D423">
        <v>1</v>
      </c>
      <c r="E423">
        <v>62</v>
      </c>
      <c r="F423">
        <v>52</v>
      </c>
      <c r="G423">
        <v>50</v>
      </c>
      <c r="H423">
        <v>57</v>
      </c>
      <c r="I423" t="s">
        <v>16</v>
      </c>
      <c r="J423">
        <v>8</v>
      </c>
      <c r="K423">
        <v>6</v>
      </c>
    </row>
    <row r="424" spans="1:11">
      <c r="A424">
        <v>416</v>
      </c>
      <c r="B424" t="s">
        <v>117</v>
      </c>
      <c r="C424" t="s">
        <v>15</v>
      </c>
      <c r="D424">
        <v>4</v>
      </c>
      <c r="E424">
        <v>87</v>
      </c>
      <c r="F424">
        <v>83</v>
      </c>
      <c r="G424">
        <v>81</v>
      </c>
      <c r="H424">
        <v>85</v>
      </c>
      <c r="I424" t="s">
        <v>13</v>
      </c>
      <c r="J424">
        <v>6</v>
      </c>
      <c r="K424">
        <v>3</v>
      </c>
    </row>
    <row r="425" spans="1:11">
      <c r="A425">
        <v>417</v>
      </c>
      <c r="B425" t="s">
        <v>33</v>
      </c>
      <c r="C425" t="s">
        <v>12</v>
      </c>
      <c r="D425">
        <v>3</v>
      </c>
      <c r="E425">
        <v>82</v>
      </c>
      <c r="F425">
        <v>76</v>
      </c>
      <c r="G425">
        <v>75</v>
      </c>
      <c r="H425">
        <v>80</v>
      </c>
      <c r="I425" t="s">
        <v>16</v>
      </c>
      <c r="J425">
        <v>7</v>
      </c>
      <c r="K425">
        <v>4</v>
      </c>
    </row>
    <row r="426" spans="1:11">
      <c r="A426">
        <v>418</v>
      </c>
      <c r="B426" t="s">
        <v>52</v>
      </c>
      <c r="C426" t="s">
        <v>15</v>
      </c>
      <c r="D426">
        <v>4</v>
      </c>
      <c r="E426">
        <v>85</v>
      </c>
      <c r="F426">
        <v>80</v>
      </c>
      <c r="G426">
        <v>82</v>
      </c>
      <c r="H426">
        <v>84</v>
      </c>
      <c r="I426" t="s">
        <v>13</v>
      </c>
      <c r="J426">
        <v>7</v>
      </c>
      <c r="K426">
        <v>3</v>
      </c>
    </row>
    <row r="427" spans="1:11">
      <c r="A427">
        <v>419</v>
      </c>
      <c r="B427" t="s">
        <v>47</v>
      </c>
      <c r="C427" t="s">
        <v>12</v>
      </c>
      <c r="D427">
        <v>6</v>
      </c>
      <c r="E427">
        <v>94</v>
      </c>
      <c r="F427">
        <v>91</v>
      </c>
      <c r="G427">
        <v>90</v>
      </c>
      <c r="H427">
        <v>92</v>
      </c>
      <c r="I427" t="s">
        <v>16</v>
      </c>
      <c r="J427">
        <v>6</v>
      </c>
      <c r="K427">
        <v>2</v>
      </c>
    </row>
    <row r="428" spans="1:11">
      <c r="A428">
        <v>420</v>
      </c>
      <c r="B428" t="s">
        <v>93</v>
      </c>
      <c r="C428" t="s">
        <v>15</v>
      </c>
      <c r="D428">
        <v>3</v>
      </c>
      <c r="E428">
        <v>79</v>
      </c>
      <c r="F428">
        <v>74</v>
      </c>
      <c r="G428">
        <v>72</v>
      </c>
      <c r="H428">
        <v>76</v>
      </c>
      <c r="I428" t="s">
        <v>13</v>
      </c>
      <c r="J428">
        <v>7</v>
      </c>
      <c r="K428">
        <v>4</v>
      </c>
    </row>
    <row r="429" spans="1:11">
      <c r="A429">
        <v>421</v>
      </c>
      <c r="B429" t="s">
        <v>35</v>
      </c>
      <c r="C429" t="s">
        <v>12</v>
      </c>
      <c r="D429">
        <v>2</v>
      </c>
      <c r="E429">
        <v>70</v>
      </c>
      <c r="F429">
        <v>62</v>
      </c>
      <c r="G429">
        <v>60</v>
      </c>
      <c r="H429">
        <v>66</v>
      </c>
      <c r="I429" t="s">
        <v>16</v>
      </c>
      <c r="J429">
        <v>8</v>
      </c>
      <c r="K429">
        <v>5</v>
      </c>
    </row>
    <row r="430" spans="1:11">
      <c r="A430">
        <v>422</v>
      </c>
      <c r="B430" t="s">
        <v>26</v>
      </c>
      <c r="C430" t="s">
        <v>15</v>
      </c>
      <c r="D430">
        <v>5</v>
      </c>
      <c r="E430">
        <v>90</v>
      </c>
      <c r="F430">
        <v>86</v>
      </c>
      <c r="G430">
        <v>88</v>
      </c>
      <c r="H430">
        <v>89</v>
      </c>
      <c r="I430" t="s">
        <v>13</v>
      </c>
      <c r="J430">
        <v>6</v>
      </c>
      <c r="K430">
        <v>2</v>
      </c>
    </row>
    <row r="431" spans="1:11">
      <c r="A431">
        <v>423</v>
      </c>
      <c r="B431" t="s">
        <v>27</v>
      </c>
      <c r="C431" t="s">
        <v>12</v>
      </c>
      <c r="D431">
        <v>3</v>
      </c>
      <c r="E431">
        <v>80</v>
      </c>
      <c r="F431">
        <v>75</v>
      </c>
      <c r="G431">
        <v>73</v>
      </c>
      <c r="H431">
        <v>78</v>
      </c>
      <c r="I431" t="s">
        <v>13</v>
      </c>
      <c r="J431">
        <v>7</v>
      </c>
      <c r="K431">
        <v>4</v>
      </c>
    </row>
    <row r="432" spans="1:11">
      <c r="A432">
        <v>424</v>
      </c>
      <c r="B432" t="s">
        <v>64</v>
      </c>
      <c r="C432" t="s">
        <v>15</v>
      </c>
      <c r="D432">
        <v>4</v>
      </c>
      <c r="E432">
        <v>87</v>
      </c>
      <c r="F432">
        <v>83</v>
      </c>
      <c r="G432">
        <v>81</v>
      </c>
      <c r="H432">
        <v>85</v>
      </c>
      <c r="I432" t="s">
        <v>13</v>
      </c>
      <c r="J432">
        <v>6</v>
      </c>
      <c r="K432">
        <v>3</v>
      </c>
    </row>
    <row r="433" spans="1:11">
      <c r="A433">
        <v>425</v>
      </c>
      <c r="B433" t="s">
        <v>29</v>
      </c>
      <c r="C433" t="s">
        <v>12</v>
      </c>
      <c r="D433">
        <v>2</v>
      </c>
      <c r="E433">
        <v>68</v>
      </c>
      <c r="F433">
        <v>60</v>
      </c>
      <c r="G433">
        <v>58</v>
      </c>
      <c r="H433">
        <v>64</v>
      </c>
      <c r="I433" t="s">
        <v>16</v>
      </c>
      <c r="J433">
        <v>8</v>
      </c>
      <c r="K433">
        <v>5</v>
      </c>
    </row>
    <row r="434" spans="1:11">
      <c r="A434">
        <v>426</v>
      </c>
      <c r="B434" t="s">
        <v>62</v>
      </c>
      <c r="C434" t="s">
        <v>15</v>
      </c>
      <c r="D434">
        <v>5</v>
      </c>
      <c r="E434">
        <v>92</v>
      </c>
      <c r="F434">
        <v>88</v>
      </c>
      <c r="G434">
        <v>90</v>
      </c>
      <c r="H434">
        <v>91</v>
      </c>
      <c r="I434" t="s">
        <v>13</v>
      </c>
      <c r="J434">
        <v>6</v>
      </c>
      <c r="K434">
        <v>2</v>
      </c>
    </row>
    <row r="435" spans="1:11">
      <c r="A435">
        <v>427</v>
      </c>
      <c r="B435" t="s">
        <v>49</v>
      </c>
      <c r="C435" t="s">
        <v>12</v>
      </c>
      <c r="D435">
        <v>3</v>
      </c>
      <c r="E435">
        <v>78</v>
      </c>
      <c r="F435">
        <v>72</v>
      </c>
      <c r="G435">
        <v>70</v>
      </c>
      <c r="H435">
        <v>75</v>
      </c>
      <c r="I435" t="s">
        <v>13</v>
      </c>
      <c r="J435">
        <v>7</v>
      </c>
      <c r="K435">
        <v>4</v>
      </c>
    </row>
    <row r="436" spans="1:11">
      <c r="A436">
        <v>428</v>
      </c>
      <c r="B436" t="s">
        <v>38</v>
      </c>
      <c r="C436" t="s">
        <v>15</v>
      </c>
      <c r="D436">
        <v>4</v>
      </c>
      <c r="E436">
        <v>85</v>
      </c>
      <c r="F436">
        <v>80</v>
      </c>
      <c r="G436">
        <v>82</v>
      </c>
      <c r="H436">
        <v>84</v>
      </c>
      <c r="I436" t="s">
        <v>13</v>
      </c>
      <c r="J436">
        <v>7</v>
      </c>
      <c r="K436">
        <v>3</v>
      </c>
    </row>
    <row r="437" spans="1:11">
      <c r="A437">
        <v>429</v>
      </c>
      <c r="B437" t="s">
        <v>164</v>
      </c>
      <c r="C437" t="s">
        <v>12</v>
      </c>
      <c r="D437">
        <v>6</v>
      </c>
      <c r="E437">
        <v>94</v>
      </c>
      <c r="F437">
        <v>91</v>
      </c>
      <c r="G437">
        <v>90</v>
      </c>
      <c r="H437">
        <v>92</v>
      </c>
      <c r="I437" t="s">
        <v>16</v>
      </c>
      <c r="J437">
        <v>6</v>
      </c>
      <c r="K437">
        <v>2</v>
      </c>
    </row>
    <row r="438" spans="1:11">
      <c r="A438">
        <v>430</v>
      </c>
      <c r="B438" t="s">
        <v>36</v>
      </c>
      <c r="C438" t="s">
        <v>15</v>
      </c>
      <c r="D438">
        <v>3</v>
      </c>
      <c r="E438">
        <v>79</v>
      </c>
      <c r="F438">
        <v>74</v>
      </c>
      <c r="G438">
        <v>72</v>
      </c>
      <c r="H438">
        <v>76</v>
      </c>
      <c r="I438" t="s">
        <v>13</v>
      </c>
      <c r="J438">
        <v>7</v>
      </c>
      <c r="K438">
        <v>4</v>
      </c>
    </row>
    <row r="439" spans="1:11">
      <c r="A439">
        <v>431</v>
      </c>
      <c r="B439" t="s">
        <v>23</v>
      </c>
      <c r="C439" t="s">
        <v>12</v>
      </c>
      <c r="D439">
        <v>2</v>
      </c>
      <c r="E439">
        <v>70</v>
      </c>
      <c r="F439">
        <v>62</v>
      </c>
      <c r="G439">
        <v>60</v>
      </c>
      <c r="H439">
        <v>66</v>
      </c>
      <c r="I439" t="s">
        <v>16</v>
      </c>
      <c r="J439">
        <v>8</v>
      </c>
      <c r="K439">
        <v>5</v>
      </c>
    </row>
    <row r="440" spans="1:11">
      <c r="A440">
        <v>432</v>
      </c>
      <c r="B440" t="s">
        <v>58</v>
      </c>
      <c r="C440" t="s">
        <v>15</v>
      </c>
      <c r="D440">
        <v>5</v>
      </c>
      <c r="E440">
        <v>90</v>
      </c>
      <c r="F440">
        <v>86</v>
      </c>
      <c r="G440">
        <v>88</v>
      </c>
      <c r="H440">
        <v>89</v>
      </c>
      <c r="I440" t="s">
        <v>13</v>
      </c>
      <c r="J440">
        <v>6</v>
      </c>
      <c r="K440">
        <v>2</v>
      </c>
    </row>
    <row r="441" spans="1:11">
      <c r="A441">
        <v>433</v>
      </c>
      <c r="B441" t="s">
        <v>59</v>
      </c>
      <c r="C441" t="s">
        <v>12</v>
      </c>
      <c r="D441">
        <v>3</v>
      </c>
      <c r="E441">
        <v>82</v>
      </c>
      <c r="F441">
        <v>76</v>
      </c>
      <c r="G441">
        <v>75</v>
      </c>
      <c r="H441">
        <v>80</v>
      </c>
      <c r="I441" t="s">
        <v>16</v>
      </c>
      <c r="J441">
        <v>7</v>
      </c>
      <c r="K441">
        <v>4</v>
      </c>
    </row>
    <row r="442" spans="1:11">
      <c r="A442">
        <v>434</v>
      </c>
      <c r="B442" t="s">
        <v>32</v>
      </c>
      <c r="C442" t="s">
        <v>15</v>
      </c>
      <c r="D442">
        <v>4</v>
      </c>
      <c r="E442">
        <v>87</v>
      </c>
      <c r="F442">
        <v>83</v>
      </c>
      <c r="G442">
        <v>81</v>
      </c>
      <c r="H442">
        <v>85</v>
      </c>
      <c r="I442" t="s">
        <v>13</v>
      </c>
      <c r="J442">
        <v>6</v>
      </c>
      <c r="K442">
        <v>3</v>
      </c>
    </row>
    <row r="443" spans="1:11">
      <c r="A443">
        <v>435</v>
      </c>
      <c r="B443" t="s">
        <v>45</v>
      </c>
      <c r="C443" t="s">
        <v>12</v>
      </c>
      <c r="D443">
        <v>2</v>
      </c>
      <c r="E443">
        <v>68</v>
      </c>
      <c r="F443">
        <v>60</v>
      </c>
      <c r="G443">
        <v>58</v>
      </c>
      <c r="H443">
        <v>64</v>
      </c>
      <c r="I443" t="s">
        <v>16</v>
      </c>
      <c r="J443">
        <v>8</v>
      </c>
      <c r="K443">
        <v>5</v>
      </c>
    </row>
    <row r="444" spans="1:11">
      <c r="A444">
        <v>436</v>
      </c>
      <c r="B444" t="s">
        <v>155</v>
      </c>
      <c r="C444" t="s">
        <v>15</v>
      </c>
      <c r="D444">
        <v>5</v>
      </c>
      <c r="E444">
        <v>92</v>
      </c>
      <c r="F444">
        <v>88</v>
      </c>
      <c r="G444">
        <v>90</v>
      </c>
      <c r="H444">
        <v>91</v>
      </c>
      <c r="I444" t="s">
        <v>13</v>
      </c>
      <c r="J444">
        <v>6</v>
      </c>
      <c r="K444">
        <v>2</v>
      </c>
    </row>
    <row r="445" spans="1:11">
      <c r="A445">
        <v>437</v>
      </c>
      <c r="B445" t="s">
        <v>63</v>
      </c>
      <c r="C445" t="s">
        <v>12</v>
      </c>
      <c r="D445">
        <v>3</v>
      </c>
      <c r="E445">
        <v>78</v>
      </c>
      <c r="F445">
        <v>72</v>
      </c>
      <c r="G445">
        <v>70</v>
      </c>
      <c r="H445">
        <v>75</v>
      </c>
      <c r="I445" t="s">
        <v>13</v>
      </c>
      <c r="J445">
        <v>7</v>
      </c>
      <c r="K445">
        <v>4</v>
      </c>
    </row>
    <row r="446" spans="1:11">
      <c r="A446">
        <v>438</v>
      </c>
      <c r="B446" t="s">
        <v>72</v>
      </c>
      <c r="C446" t="s">
        <v>12</v>
      </c>
      <c r="D446">
        <v>4</v>
      </c>
      <c r="E446">
        <v>85</v>
      </c>
      <c r="F446">
        <v>80</v>
      </c>
      <c r="G446">
        <v>82</v>
      </c>
      <c r="H446">
        <v>84</v>
      </c>
      <c r="I446" t="s">
        <v>13</v>
      </c>
      <c r="J446">
        <v>7</v>
      </c>
      <c r="K446">
        <v>3</v>
      </c>
    </row>
    <row r="447" spans="1:11">
      <c r="A447">
        <v>439</v>
      </c>
      <c r="B447" t="s">
        <v>30</v>
      </c>
      <c r="C447" t="s">
        <v>15</v>
      </c>
      <c r="D447">
        <v>6</v>
      </c>
      <c r="E447">
        <v>94</v>
      </c>
      <c r="F447">
        <v>91</v>
      </c>
      <c r="G447">
        <v>90</v>
      </c>
      <c r="H447">
        <v>92</v>
      </c>
      <c r="I447" t="s">
        <v>16</v>
      </c>
      <c r="J447">
        <v>6</v>
      </c>
      <c r="K447">
        <v>2</v>
      </c>
    </row>
    <row r="448" spans="1:11">
      <c r="A448">
        <v>440</v>
      </c>
      <c r="B448" t="s">
        <v>85</v>
      </c>
      <c r="C448" t="s">
        <v>12</v>
      </c>
      <c r="D448">
        <v>2</v>
      </c>
      <c r="E448">
        <v>70</v>
      </c>
      <c r="F448">
        <v>62</v>
      </c>
      <c r="G448">
        <v>60</v>
      </c>
      <c r="H448">
        <v>66</v>
      </c>
      <c r="I448" t="s">
        <v>16</v>
      </c>
      <c r="J448">
        <v>8</v>
      </c>
      <c r="K448">
        <v>5</v>
      </c>
    </row>
    <row r="449" spans="1:11">
      <c r="A449">
        <v>441</v>
      </c>
      <c r="B449" t="s">
        <v>71</v>
      </c>
      <c r="C449" t="s">
        <v>12</v>
      </c>
      <c r="D449">
        <v>3</v>
      </c>
      <c r="E449">
        <v>78</v>
      </c>
      <c r="F449">
        <v>72</v>
      </c>
      <c r="G449">
        <v>70</v>
      </c>
      <c r="H449">
        <v>75</v>
      </c>
      <c r="I449" t="s">
        <v>13</v>
      </c>
      <c r="J449">
        <v>7</v>
      </c>
      <c r="K449">
        <v>4</v>
      </c>
    </row>
    <row r="450" spans="1:11">
      <c r="A450">
        <v>447</v>
      </c>
      <c r="B450" t="s">
        <v>52</v>
      </c>
      <c r="C450" t="s">
        <v>15</v>
      </c>
      <c r="D450">
        <v>4</v>
      </c>
      <c r="E450">
        <v>85</v>
      </c>
      <c r="F450">
        <v>80</v>
      </c>
      <c r="G450">
        <v>82</v>
      </c>
      <c r="H450">
        <v>84</v>
      </c>
      <c r="I450" t="s">
        <v>13</v>
      </c>
      <c r="J450">
        <v>7</v>
      </c>
      <c r="K450">
        <v>3</v>
      </c>
    </row>
    <row r="451" spans="1:11">
      <c r="A451">
        <v>452</v>
      </c>
      <c r="B451" t="s">
        <v>35</v>
      </c>
      <c r="C451" t="s">
        <v>12</v>
      </c>
      <c r="D451">
        <v>2</v>
      </c>
      <c r="E451">
        <v>70</v>
      </c>
      <c r="F451">
        <v>62</v>
      </c>
      <c r="G451">
        <v>60</v>
      </c>
      <c r="H451">
        <v>66</v>
      </c>
      <c r="I451" t="s">
        <v>16</v>
      </c>
      <c r="J451">
        <v>8</v>
      </c>
      <c r="K451">
        <v>5</v>
      </c>
    </row>
    <row r="452" spans="1:11">
      <c r="A452">
        <v>442</v>
      </c>
      <c r="B452" t="s">
        <v>68</v>
      </c>
      <c r="C452" t="s">
        <v>69</v>
      </c>
      <c r="D452">
        <v>4</v>
      </c>
      <c r="E452">
        <v>88</v>
      </c>
      <c r="F452">
        <v>82</v>
      </c>
      <c r="G452">
        <v>79</v>
      </c>
      <c r="H452">
        <v>85</v>
      </c>
      <c r="I452" t="s">
        <v>70</v>
      </c>
      <c r="J452">
        <v>7</v>
      </c>
      <c r="K452">
        <v>3</v>
      </c>
    </row>
    <row r="453" spans="1:11">
      <c r="A453">
        <v>443</v>
      </c>
      <c r="B453" t="s">
        <v>65</v>
      </c>
      <c r="C453" t="s">
        <v>66</v>
      </c>
      <c r="D453">
        <v>3</v>
      </c>
      <c r="E453">
        <v>85</v>
      </c>
      <c r="F453">
        <v>78</v>
      </c>
      <c r="G453">
        <v>72</v>
      </c>
      <c r="H453">
        <v>80</v>
      </c>
      <c r="I453" t="s">
        <v>67</v>
      </c>
      <c r="J453">
        <v>7</v>
      </c>
      <c r="K453">
        <v>3</v>
      </c>
    </row>
    <row r="454" spans="1:11">
      <c r="A454">
        <v>444</v>
      </c>
      <c r="B454" t="s">
        <v>154</v>
      </c>
      <c r="C454" t="s">
        <v>15</v>
      </c>
      <c r="E454">
        <v>85</v>
      </c>
      <c r="F454">
        <v>80</v>
      </c>
      <c r="G454">
        <v>82</v>
      </c>
      <c r="H454">
        <v>84</v>
      </c>
      <c r="I454" t="s">
        <v>13</v>
      </c>
      <c r="J454">
        <v>7</v>
      </c>
      <c r="K454">
        <v>3</v>
      </c>
    </row>
    <row r="455" spans="1:11">
      <c r="A455">
        <v>445</v>
      </c>
      <c r="B455" t="s">
        <v>39</v>
      </c>
      <c r="C455" t="s">
        <v>12</v>
      </c>
      <c r="D455">
        <v>2</v>
      </c>
      <c r="E455">
        <v>70</v>
      </c>
      <c r="F455">
        <v>62</v>
      </c>
      <c r="G455">
        <v>60</v>
      </c>
      <c r="H455">
        <v>66</v>
      </c>
      <c r="I455" t="s">
        <v>16</v>
      </c>
      <c r="J455">
        <v>8</v>
      </c>
      <c r="K455">
        <v>5</v>
      </c>
    </row>
    <row r="456" spans="1:11">
      <c r="A456">
        <v>446</v>
      </c>
      <c r="B456" t="s">
        <v>28</v>
      </c>
      <c r="C456" t="s">
        <v>15</v>
      </c>
      <c r="D456">
        <v>5</v>
      </c>
      <c r="E456">
        <v>92</v>
      </c>
      <c r="F456">
        <v>88</v>
      </c>
      <c r="G456">
        <v>90</v>
      </c>
      <c r="H456">
        <v>91</v>
      </c>
      <c r="I456" t="s">
        <v>13</v>
      </c>
      <c r="J456">
        <v>6</v>
      </c>
      <c r="K456">
        <v>2</v>
      </c>
    </row>
    <row r="457" spans="1:11">
      <c r="A457">
        <v>448</v>
      </c>
      <c r="B457" t="s">
        <v>53</v>
      </c>
      <c r="C457" t="s">
        <v>12</v>
      </c>
      <c r="D457">
        <v>1</v>
      </c>
      <c r="E457">
        <v>62</v>
      </c>
      <c r="F457">
        <v>52</v>
      </c>
      <c r="G457">
        <v>50</v>
      </c>
      <c r="H457">
        <v>57</v>
      </c>
      <c r="I457" t="s">
        <v>16</v>
      </c>
      <c r="J457">
        <v>8</v>
      </c>
      <c r="K457">
        <v>6</v>
      </c>
    </row>
    <row r="458" spans="1:11">
      <c r="A458">
        <v>449</v>
      </c>
      <c r="B458" t="s">
        <v>22</v>
      </c>
      <c r="C458" t="s">
        <v>15</v>
      </c>
      <c r="D458">
        <v>4</v>
      </c>
      <c r="E458">
        <v>87</v>
      </c>
      <c r="F458">
        <v>83</v>
      </c>
      <c r="G458">
        <v>81</v>
      </c>
      <c r="H458">
        <v>85</v>
      </c>
      <c r="I458" t="s">
        <v>13</v>
      </c>
      <c r="J458">
        <v>6</v>
      </c>
      <c r="K458">
        <v>3</v>
      </c>
    </row>
    <row r="459" spans="1:11">
      <c r="A459">
        <v>450</v>
      </c>
      <c r="B459" t="s">
        <v>157</v>
      </c>
      <c r="C459" t="s">
        <v>12</v>
      </c>
      <c r="D459">
        <v>2</v>
      </c>
      <c r="E459">
        <v>68</v>
      </c>
      <c r="F459">
        <v>60</v>
      </c>
      <c r="G459">
        <v>58</v>
      </c>
      <c r="H459">
        <v>64</v>
      </c>
      <c r="I459" t="s">
        <v>16</v>
      </c>
      <c r="J459">
        <v>8</v>
      </c>
      <c r="K459">
        <v>5</v>
      </c>
    </row>
    <row r="460" spans="1:11">
      <c r="A460">
        <v>451</v>
      </c>
      <c r="B460" t="s">
        <v>34</v>
      </c>
      <c r="C460" t="s">
        <v>15</v>
      </c>
      <c r="D460">
        <v>5</v>
      </c>
      <c r="E460">
        <v>92</v>
      </c>
      <c r="F460">
        <v>88</v>
      </c>
      <c r="G460">
        <v>90</v>
      </c>
      <c r="H460">
        <v>91</v>
      </c>
      <c r="I460" t="s">
        <v>13</v>
      </c>
      <c r="J460">
        <v>6</v>
      </c>
      <c r="K460">
        <v>2</v>
      </c>
    </row>
    <row r="461" spans="1:11">
      <c r="A461">
        <v>453</v>
      </c>
      <c r="B461" t="s">
        <v>82</v>
      </c>
      <c r="C461" t="s">
        <v>12</v>
      </c>
      <c r="D461">
        <v>3</v>
      </c>
      <c r="E461">
        <v>78</v>
      </c>
      <c r="F461">
        <v>72</v>
      </c>
      <c r="G461">
        <v>70</v>
      </c>
      <c r="H461">
        <v>75</v>
      </c>
      <c r="I461" t="s">
        <v>13</v>
      </c>
      <c r="J461">
        <v>7</v>
      </c>
      <c r="K461">
        <v>4</v>
      </c>
    </row>
    <row r="462" spans="1:11">
      <c r="A462">
        <v>454</v>
      </c>
      <c r="B462" t="s">
        <v>50</v>
      </c>
      <c r="C462" t="s">
        <v>15</v>
      </c>
      <c r="D462">
        <v>4</v>
      </c>
      <c r="E462">
        <v>85</v>
      </c>
      <c r="F462">
        <v>80</v>
      </c>
      <c r="G462">
        <v>82</v>
      </c>
      <c r="H462">
        <v>84</v>
      </c>
      <c r="I462" t="s">
        <v>13</v>
      </c>
      <c r="J462">
        <v>7</v>
      </c>
      <c r="K462">
        <v>3</v>
      </c>
    </row>
    <row r="463" spans="1:11">
      <c r="A463">
        <v>455</v>
      </c>
      <c r="B463" t="s">
        <v>111</v>
      </c>
      <c r="C463" t="s">
        <v>12</v>
      </c>
      <c r="D463">
        <v>6</v>
      </c>
      <c r="E463">
        <v>94</v>
      </c>
      <c r="F463">
        <v>91</v>
      </c>
      <c r="G463">
        <v>90</v>
      </c>
      <c r="H463">
        <v>92</v>
      </c>
      <c r="I463" t="s">
        <v>16</v>
      </c>
      <c r="J463">
        <v>6</v>
      </c>
      <c r="K463">
        <v>2</v>
      </c>
    </row>
    <row r="464" spans="1:11">
      <c r="A464">
        <v>456</v>
      </c>
      <c r="C464" t="s">
        <v>15</v>
      </c>
      <c r="D464">
        <v>3</v>
      </c>
      <c r="E464">
        <v>79</v>
      </c>
      <c r="F464">
        <v>74</v>
      </c>
      <c r="G464">
        <v>72</v>
      </c>
      <c r="H464">
        <v>76</v>
      </c>
      <c r="I464" t="s">
        <v>13</v>
      </c>
      <c r="J464">
        <v>7</v>
      </c>
      <c r="K464">
        <v>4</v>
      </c>
    </row>
    <row r="465" spans="1:11">
      <c r="A465">
        <v>457</v>
      </c>
      <c r="B465" t="s">
        <v>33</v>
      </c>
      <c r="C465" t="s">
        <v>12</v>
      </c>
      <c r="D465">
        <v>2</v>
      </c>
      <c r="E465">
        <v>70</v>
      </c>
      <c r="F465">
        <v>62</v>
      </c>
      <c r="G465">
        <v>60</v>
      </c>
      <c r="H465">
        <v>66</v>
      </c>
      <c r="I465" t="s">
        <v>16</v>
      </c>
      <c r="J465">
        <v>8</v>
      </c>
      <c r="K465">
        <v>5</v>
      </c>
    </row>
    <row r="466" spans="1:11">
      <c r="A466">
        <v>458</v>
      </c>
      <c r="B466" t="s">
        <v>56</v>
      </c>
      <c r="C466" t="s">
        <v>15</v>
      </c>
      <c r="D466">
        <v>5</v>
      </c>
      <c r="E466">
        <v>90</v>
      </c>
      <c r="F466">
        <v>86</v>
      </c>
      <c r="G466">
        <v>88</v>
      </c>
      <c r="H466">
        <v>89</v>
      </c>
      <c r="I466" t="s">
        <v>13</v>
      </c>
      <c r="J466">
        <v>6</v>
      </c>
      <c r="K466">
        <v>2</v>
      </c>
    </row>
    <row r="467" spans="1:11">
      <c r="A467">
        <v>459</v>
      </c>
      <c r="B467" t="s">
        <v>27</v>
      </c>
      <c r="C467" t="s">
        <v>12</v>
      </c>
      <c r="D467">
        <v>3</v>
      </c>
      <c r="E467">
        <v>82</v>
      </c>
      <c r="F467">
        <v>76</v>
      </c>
      <c r="G467">
        <v>75</v>
      </c>
      <c r="H467">
        <v>80</v>
      </c>
      <c r="I467" t="s">
        <v>16</v>
      </c>
      <c r="J467">
        <v>7</v>
      </c>
      <c r="K467">
        <v>4</v>
      </c>
    </row>
    <row r="468" spans="1:11">
      <c r="A468">
        <v>460</v>
      </c>
      <c r="B468" t="s">
        <v>32</v>
      </c>
      <c r="C468" t="s">
        <v>15</v>
      </c>
      <c r="D468">
        <v>4</v>
      </c>
      <c r="E468">
        <v>87</v>
      </c>
      <c r="F468">
        <v>83</v>
      </c>
      <c r="G468">
        <v>81</v>
      </c>
      <c r="H468">
        <v>85</v>
      </c>
      <c r="I468" t="s">
        <v>13</v>
      </c>
      <c r="J468">
        <v>6</v>
      </c>
      <c r="K468">
        <v>3</v>
      </c>
    </row>
    <row r="469" spans="1:11">
      <c r="A469">
        <v>461</v>
      </c>
      <c r="B469" t="s">
        <v>35</v>
      </c>
      <c r="C469" t="s">
        <v>12</v>
      </c>
      <c r="D469">
        <v>2</v>
      </c>
      <c r="E469">
        <v>68</v>
      </c>
      <c r="F469">
        <v>60</v>
      </c>
      <c r="G469">
        <v>58</v>
      </c>
      <c r="H469">
        <v>64</v>
      </c>
      <c r="I469" t="s">
        <v>16</v>
      </c>
      <c r="J469">
        <v>8</v>
      </c>
      <c r="K469">
        <v>5</v>
      </c>
    </row>
    <row r="470" spans="1:11">
      <c r="A470">
        <v>462</v>
      </c>
      <c r="B470" t="s">
        <v>64</v>
      </c>
      <c r="C470" t="s">
        <v>15</v>
      </c>
      <c r="D470">
        <v>5</v>
      </c>
      <c r="E470">
        <v>92</v>
      </c>
      <c r="F470">
        <v>88</v>
      </c>
      <c r="G470">
        <v>90</v>
      </c>
      <c r="H470">
        <v>91</v>
      </c>
      <c r="I470" t="s">
        <v>13</v>
      </c>
      <c r="J470">
        <v>6</v>
      </c>
      <c r="K470">
        <v>2</v>
      </c>
    </row>
    <row r="471" spans="1:11">
      <c r="A471">
        <v>463</v>
      </c>
      <c r="B471" t="s">
        <v>49</v>
      </c>
      <c r="C471" t="s">
        <v>12</v>
      </c>
      <c r="D471">
        <v>3</v>
      </c>
      <c r="E471">
        <v>78</v>
      </c>
      <c r="F471">
        <v>72</v>
      </c>
      <c r="G471">
        <v>70</v>
      </c>
      <c r="H471">
        <v>75</v>
      </c>
      <c r="I471" t="s">
        <v>13</v>
      </c>
      <c r="J471">
        <v>7</v>
      </c>
      <c r="K471">
        <v>4</v>
      </c>
    </row>
    <row r="472" spans="1:11">
      <c r="A472">
        <v>464</v>
      </c>
      <c r="B472" t="s">
        <v>38</v>
      </c>
      <c r="C472" t="s">
        <v>15</v>
      </c>
      <c r="D472">
        <v>4</v>
      </c>
      <c r="E472">
        <v>85</v>
      </c>
      <c r="F472">
        <v>80</v>
      </c>
      <c r="G472">
        <v>82</v>
      </c>
      <c r="H472">
        <v>84</v>
      </c>
      <c r="I472" t="s">
        <v>13</v>
      </c>
      <c r="J472">
        <v>7</v>
      </c>
      <c r="K472">
        <v>3</v>
      </c>
    </row>
    <row r="473" spans="1:11">
      <c r="A473">
        <v>465</v>
      </c>
      <c r="B473" t="s">
        <v>164</v>
      </c>
      <c r="C473" t="s">
        <v>12</v>
      </c>
      <c r="D473">
        <v>6</v>
      </c>
      <c r="E473">
        <v>94</v>
      </c>
      <c r="F473">
        <v>91</v>
      </c>
      <c r="G473">
        <v>90</v>
      </c>
      <c r="H473">
        <v>92</v>
      </c>
      <c r="I473" t="s">
        <v>16</v>
      </c>
      <c r="J473">
        <v>6</v>
      </c>
      <c r="K473">
        <v>2</v>
      </c>
    </row>
    <row r="474" spans="1:11">
      <c r="A474">
        <v>466</v>
      </c>
      <c r="B474" t="s">
        <v>36</v>
      </c>
      <c r="C474" t="s">
        <v>15</v>
      </c>
      <c r="D474">
        <v>3</v>
      </c>
      <c r="E474">
        <v>79</v>
      </c>
      <c r="F474">
        <v>74</v>
      </c>
      <c r="G474">
        <v>72</v>
      </c>
      <c r="H474">
        <v>76</v>
      </c>
      <c r="I474" t="s">
        <v>13</v>
      </c>
      <c r="J474">
        <v>7</v>
      </c>
      <c r="K474">
        <v>4</v>
      </c>
    </row>
    <row r="475" spans="1:11">
      <c r="A475">
        <v>467</v>
      </c>
      <c r="B475" t="s">
        <v>23</v>
      </c>
      <c r="C475" t="s">
        <v>12</v>
      </c>
      <c r="D475">
        <v>2</v>
      </c>
      <c r="E475">
        <v>70</v>
      </c>
      <c r="F475">
        <v>62</v>
      </c>
      <c r="G475">
        <v>60</v>
      </c>
      <c r="H475">
        <v>66</v>
      </c>
      <c r="I475" t="s">
        <v>16</v>
      </c>
      <c r="J475">
        <v>8</v>
      </c>
      <c r="K475">
        <v>5</v>
      </c>
    </row>
    <row r="476" spans="1:11">
      <c r="A476">
        <v>468</v>
      </c>
      <c r="B476" t="s">
        <v>58</v>
      </c>
      <c r="C476" t="s">
        <v>15</v>
      </c>
      <c r="D476">
        <v>5</v>
      </c>
      <c r="E476">
        <v>90</v>
      </c>
      <c r="F476">
        <v>86</v>
      </c>
      <c r="G476">
        <v>88</v>
      </c>
      <c r="H476">
        <v>89</v>
      </c>
      <c r="I476" t="s">
        <v>13</v>
      </c>
      <c r="J476">
        <v>6</v>
      </c>
      <c r="K476">
        <v>2</v>
      </c>
    </row>
    <row r="477" spans="1:11">
      <c r="A477">
        <v>469</v>
      </c>
      <c r="B477" t="s">
        <v>59</v>
      </c>
      <c r="C477" t="s">
        <v>12</v>
      </c>
      <c r="D477">
        <v>3</v>
      </c>
      <c r="E477">
        <v>82</v>
      </c>
      <c r="F477">
        <v>76</v>
      </c>
      <c r="G477">
        <v>75</v>
      </c>
      <c r="H477">
        <v>80</v>
      </c>
      <c r="I477" t="s">
        <v>16</v>
      </c>
      <c r="J477">
        <v>7</v>
      </c>
      <c r="K477">
        <v>4</v>
      </c>
    </row>
    <row r="478" spans="1:11">
      <c r="A478">
        <v>470</v>
      </c>
      <c r="B478" t="s">
        <v>155</v>
      </c>
      <c r="C478" t="s">
        <v>15</v>
      </c>
      <c r="D478">
        <v>4</v>
      </c>
      <c r="E478">
        <v>87</v>
      </c>
      <c r="F478">
        <v>83</v>
      </c>
      <c r="G478">
        <v>81</v>
      </c>
      <c r="H478">
        <v>85</v>
      </c>
      <c r="I478" t="s">
        <v>13</v>
      </c>
      <c r="J478">
        <v>6</v>
      </c>
      <c r="K478">
        <v>3</v>
      </c>
    </row>
    <row r="479" spans="1:11">
      <c r="A479">
        <v>471</v>
      </c>
      <c r="B479" t="s">
        <v>45</v>
      </c>
      <c r="C479" t="s">
        <v>12</v>
      </c>
      <c r="D479">
        <v>2</v>
      </c>
      <c r="E479">
        <v>68</v>
      </c>
      <c r="F479">
        <v>60</v>
      </c>
      <c r="G479">
        <v>58</v>
      </c>
      <c r="H479">
        <v>64</v>
      </c>
      <c r="I479" t="s">
        <v>16</v>
      </c>
      <c r="J479">
        <v>8</v>
      </c>
      <c r="K479">
        <v>5</v>
      </c>
    </row>
    <row r="480" spans="1:11">
      <c r="A480">
        <v>472</v>
      </c>
      <c r="B480" t="s">
        <v>40</v>
      </c>
      <c r="C480" t="s">
        <v>15</v>
      </c>
      <c r="D480">
        <v>5</v>
      </c>
      <c r="E480">
        <v>92</v>
      </c>
      <c r="F480">
        <v>88</v>
      </c>
      <c r="G480">
        <v>90</v>
      </c>
      <c r="H480">
        <v>91</v>
      </c>
      <c r="I480" t="s">
        <v>13</v>
      </c>
      <c r="J480">
        <v>6</v>
      </c>
      <c r="K480">
        <v>2</v>
      </c>
    </row>
    <row r="481" spans="1:11">
      <c r="A481">
        <v>473</v>
      </c>
      <c r="B481" t="s">
        <v>63</v>
      </c>
      <c r="C481" t="s">
        <v>12</v>
      </c>
      <c r="D481">
        <v>3</v>
      </c>
      <c r="E481">
        <v>78</v>
      </c>
      <c r="F481">
        <v>72</v>
      </c>
      <c r="G481">
        <v>70</v>
      </c>
      <c r="H481">
        <v>75</v>
      </c>
      <c r="I481" t="s">
        <v>13</v>
      </c>
      <c r="J481">
        <v>7</v>
      </c>
      <c r="K481">
        <v>4</v>
      </c>
    </row>
    <row r="482" spans="1:11">
      <c r="A482">
        <v>474</v>
      </c>
      <c r="B482" t="s">
        <v>72</v>
      </c>
      <c r="C482" t="s">
        <v>12</v>
      </c>
      <c r="D482">
        <v>4</v>
      </c>
      <c r="E482">
        <v>85</v>
      </c>
      <c r="F482">
        <v>80</v>
      </c>
      <c r="G482">
        <v>82</v>
      </c>
      <c r="H482">
        <v>84</v>
      </c>
      <c r="I482" t="s">
        <v>13</v>
      </c>
      <c r="J482">
        <v>7</v>
      </c>
      <c r="K482">
        <v>3</v>
      </c>
    </row>
    <row r="483" spans="1:11">
      <c r="A483">
        <v>475</v>
      </c>
      <c r="B483" t="s">
        <v>30</v>
      </c>
      <c r="C483" t="s">
        <v>15</v>
      </c>
      <c r="D483">
        <v>6</v>
      </c>
      <c r="E483">
        <v>94</v>
      </c>
      <c r="F483">
        <v>91</v>
      </c>
      <c r="G483">
        <v>90</v>
      </c>
      <c r="H483">
        <v>92</v>
      </c>
      <c r="I483" t="s">
        <v>16</v>
      </c>
      <c r="J483">
        <v>6</v>
      </c>
      <c r="K483">
        <v>2</v>
      </c>
    </row>
    <row r="484" spans="1:11">
      <c r="A484">
        <v>476</v>
      </c>
      <c r="B484" t="s">
        <v>85</v>
      </c>
      <c r="C484" t="s">
        <v>12</v>
      </c>
      <c r="D484">
        <v>2</v>
      </c>
      <c r="E484">
        <v>70</v>
      </c>
      <c r="F484">
        <v>62</v>
      </c>
      <c r="G484">
        <v>60</v>
      </c>
      <c r="H484">
        <v>66</v>
      </c>
      <c r="I484" t="s">
        <v>16</v>
      </c>
      <c r="J484">
        <v>8</v>
      </c>
      <c r="K484">
        <v>5</v>
      </c>
    </row>
    <row r="485" spans="1:11">
      <c r="A485">
        <v>477</v>
      </c>
      <c r="B485" t="s">
        <v>144</v>
      </c>
      <c r="C485" t="s">
        <v>15</v>
      </c>
      <c r="D485">
        <v>5</v>
      </c>
      <c r="E485">
        <v>90</v>
      </c>
      <c r="F485">
        <v>86</v>
      </c>
      <c r="G485">
        <v>88</v>
      </c>
      <c r="H485">
        <v>89</v>
      </c>
      <c r="I485" t="s">
        <v>13</v>
      </c>
      <c r="J485">
        <v>6</v>
      </c>
      <c r="K485">
        <v>2</v>
      </c>
    </row>
    <row r="486" spans="1:11">
      <c r="A486">
        <v>478</v>
      </c>
      <c r="B486" t="s">
        <v>147</v>
      </c>
      <c r="C486" t="s">
        <v>12</v>
      </c>
      <c r="D486">
        <v>3</v>
      </c>
      <c r="E486">
        <v>82</v>
      </c>
      <c r="F486">
        <v>76</v>
      </c>
      <c r="G486">
        <v>75</v>
      </c>
      <c r="H486">
        <v>80</v>
      </c>
      <c r="I486" t="s">
        <v>16</v>
      </c>
      <c r="J486">
        <v>7</v>
      </c>
      <c r="K486">
        <v>4</v>
      </c>
    </row>
    <row r="487" spans="1:11">
      <c r="A487">
        <v>479</v>
      </c>
      <c r="B487" t="s">
        <v>40</v>
      </c>
      <c r="C487" t="s">
        <v>15</v>
      </c>
      <c r="D487">
        <v>4</v>
      </c>
      <c r="E487">
        <v>87</v>
      </c>
      <c r="F487">
        <v>83</v>
      </c>
      <c r="G487">
        <v>81</v>
      </c>
      <c r="H487">
        <v>85</v>
      </c>
      <c r="I487" t="s">
        <v>13</v>
      </c>
      <c r="J487">
        <v>6</v>
      </c>
      <c r="K487">
        <v>3</v>
      </c>
    </row>
    <row r="488" spans="1:11">
      <c r="A488">
        <v>480</v>
      </c>
      <c r="B488" t="s">
        <v>91</v>
      </c>
      <c r="C488" t="s">
        <v>15</v>
      </c>
      <c r="D488">
        <v>2</v>
      </c>
      <c r="E488">
        <v>68</v>
      </c>
      <c r="F488">
        <v>60</v>
      </c>
      <c r="G488">
        <v>58</v>
      </c>
      <c r="H488">
        <v>64</v>
      </c>
      <c r="I488" t="s">
        <v>16</v>
      </c>
      <c r="J488">
        <v>8</v>
      </c>
      <c r="K488">
        <v>5</v>
      </c>
    </row>
    <row r="489" spans="1:11">
      <c r="A489">
        <v>481</v>
      </c>
      <c r="B489" t="s">
        <v>55</v>
      </c>
      <c r="C489" t="s">
        <v>12</v>
      </c>
      <c r="D489">
        <v>5</v>
      </c>
      <c r="E489">
        <v>92</v>
      </c>
      <c r="F489">
        <v>88</v>
      </c>
      <c r="G489">
        <v>90</v>
      </c>
      <c r="H489">
        <v>91</v>
      </c>
      <c r="I489" t="s">
        <v>13</v>
      </c>
      <c r="J489">
        <v>6</v>
      </c>
      <c r="K489">
        <v>2</v>
      </c>
    </row>
    <row r="490" spans="1:11">
      <c r="A490">
        <v>482</v>
      </c>
      <c r="B490" t="s">
        <v>57</v>
      </c>
      <c r="C490" t="s">
        <v>12</v>
      </c>
      <c r="D490">
        <v>3</v>
      </c>
      <c r="E490">
        <v>78</v>
      </c>
      <c r="F490">
        <v>72</v>
      </c>
      <c r="G490">
        <v>70</v>
      </c>
      <c r="H490">
        <v>75</v>
      </c>
      <c r="I490" t="s">
        <v>13</v>
      </c>
      <c r="J490">
        <v>7</v>
      </c>
      <c r="K490">
        <v>4</v>
      </c>
    </row>
    <row r="491" spans="1:11">
      <c r="A491">
        <v>483</v>
      </c>
      <c r="B491" t="s">
        <v>60</v>
      </c>
      <c r="C491" t="s">
        <v>15</v>
      </c>
      <c r="D491">
        <v>4</v>
      </c>
      <c r="E491">
        <v>85</v>
      </c>
      <c r="F491">
        <v>80</v>
      </c>
      <c r="G491">
        <v>82</v>
      </c>
      <c r="H491">
        <v>84</v>
      </c>
      <c r="I491" t="s">
        <v>13</v>
      </c>
      <c r="J491">
        <v>7</v>
      </c>
      <c r="K491">
        <v>3</v>
      </c>
    </row>
    <row r="492" spans="1:11">
      <c r="A492">
        <v>484</v>
      </c>
      <c r="B492" t="s">
        <v>51</v>
      </c>
      <c r="C492" t="s">
        <v>12</v>
      </c>
      <c r="D492">
        <v>6</v>
      </c>
      <c r="E492">
        <v>94</v>
      </c>
      <c r="F492">
        <v>91</v>
      </c>
      <c r="G492">
        <v>90</v>
      </c>
      <c r="H492">
        <v>92</v>
      </c>
      <c r="I492" t="s">
        <v>16</v>
      </c>
      <c r="J492">
        <v>6</v>
      </c>
      <c r="K492">
        <v>2</v>
      </c>
    </row>
    <row r="493" spans="1:11">
      <c r="A493">
        <v>485</v>
      </c>
      <c r="B493" t="s">
        <v>54</v>
      </c>
      <c r="C493" t="s">
        <v>15</v>
      </c>
      <c r="D493">
        <v>3</v>
      </c>
      <c r="E493">
        <v>79</v>
      </c>
      <c r="F493">
        <v>74</v>
      </c>
      <c r="G493">
        <v>72</v>
      </c>
      <c r="H493">
        <v>76</v>
      </c>
      <c r="I493" t="s">
        <v>13</v>
      </c>
      <c r="J493">
        <v>7</v>
      </c>
      <c r="K493">
        <v>4</v>
      </c>
    </row>
    <row r="494" spans="1:11">
      <c r="A494">
        <v>486</v>
      </c>
      <c r="B494" t="s">
        <v>19</v>
      </c>
      <c r="C494" t="s">
        <v>12</v>
      </c>
      <c r="D494">
        <v>2</v>
      </c>
      <c r="E494">
        <v>70</v>
      </c>
      <c r="F494">
        <v>62</v>
      </c>
      <c r="G494">
        <v>60</v>
      </c>
      <c r="H494">
        <v>66</v>
      </c>
      <c r="I494" t="s">
        <v>16</v>
      </c>
      <c r="J494">
        <v>8</v>
      </c>
      <c r="K494">
        <v>5</v>
      </c>
    </row>
    <row r="495" spans="1:11">
      <c r="A495">
        <v>487</v>
      </c>
      <c r="B495" t="s">
        <v>14</v>
      </c>
      <c r="C495" t="s">
        <v>15</v>
      </c>
      <c r="D495">
        <v>5</v>
      </c>
      <c r="E495">
        <v>90</v>
      </c>
      <c r="F495">
        <v>86</v>
      </c>
      <c r="G495">
        <v>88</v>
      </c>
      <c r="H495">
        <v>89</v>
      </c>
      <c r="I495" t="s">
        <v>13</v>
      </c>
      <c r="J495">
        <v>6</v>
      </c>
      <c r="K495">
        <v>2</v>
      </c>
    </row>
    <row r="496" spans="1:11">
      <c r="A496">
        <v>488</v>
      </c>
      <c r="B496" t="s">
        <v>11</v>
      </c>
      <c r="C496" t="s">
        <v>12</v>
      </c>
      <c r="D496">
        <v>3</v>
      </c>
      <c r="E496">
        <v>82</v>
      </c>
      <c r="F496">
        <v>76</v>
      </c>
      <c r="G496">
        <v>75</v>
      </c>
      <c r="H496">
        <v>80</v>
      </c>
      <c r="I496" t="s">
        <v>16</v>
      </c>
      <c r="J496">
        <v>7</v>
      </c>
      <c r="K496">
        <v>4</v>
      </c>
    </row>
    <row r="497" spans="1:11">
      <c r="A497">
        <v>489</v>
      </c>
      <c r="C497" t="s">
        <v>12</v>
      </c>
      <c r="D497">
        <v>3</v>
      </c>
      <c r="E497">
        <v>80</v>
      </c>
      <c r="F497">
        <v>75</v>
      </c>
      <c r="G497">
        <v>73</v>
      </c>
      <c r="H497">
        <v>78</v>
      </c>
      <c r="I497" t="s">
        <v>13</v>
      </c>
      <c r="J497">
        <v>7</v>
      </c>
      <c r="K497">
        <v>4</v>
      </c>
    </row>
    <row r="498" spans="1:11">
      <c r="A498">
        <v>490</v>
      </c>
      <c r="B498" t="s">
        <v>158</v>
      </c>
      <c r="C498" t="s">
        <v>159</v>
      </c>
      <c r="D498">
        <v>5</v>
      </c>
      <c r="E498">
        <v>90</v>
      </c>
      <c r="F498">
        <v>86</v>
      </c>
      <c r="G498">
        <v>88</v>
      </c>
      <c r="H498">
        <v>89</v>
      </c>
      <c r="I498" t="s">
        <v>67</v>
      </c>
      <c r="J498">
        <v>6</v>
      </c>
      <c r="K498">
        <v>2</v>
      </c>
    </row>
    <row r="499" spans="1:11">
      <c r="A499">
        <v>491</v>
      </c>
      <c r="B499" t="s">
        <v>63</v>
      </c>
      <c r="C499" t="s">
        <v>12</v>
      </c>
      <c r="E499">
        <v>85</v>
      </c>
      <c r="F499">
        <v>80</v>
      </c>
      <c r="G499">
        <v>82</v>
      </c>
      <c r="H499">
        <v>84</v>
      </c>
      <c r="I499" t="s">
        <v>13</v>
      </c>
      <c r="J499">
        <v>7</v>
      </c>
      <c r="K499">
        <v>3</v>
      </c>
    </row>
    <row r="500" spans="1:11">
      <c r="A500">
        <v>492</v>
      </c>
      <c r="B500" t="s">
        <v>160</v>
      </c>
      <c r="C500" t="s">
        <v>161</v>
      </c>
      <c r="D500">
        <v>2</v>
      </c>
      <c r="E500">
        <v>70</v>
      </c>
      <c r="F500">
        <v>62</v>
      </c>
      <c r="G500">
        <v>60</v>
      </c>
      <c r="H500">
        <v>66</v>
      </c>
      <c r="I500" t="s">
        <v>162</v>
      </c>
      <c r="J500">
        <v>8</v>
      </c>
      <c r="K500">
        <v>5</v>
      </c>
    </row>
    <row r="501" spans="1:11">
      <c r="A501">
        <v>493</v>
      </c>
      <c r="B501" t="s">
        <v>40</v>
      </c>
      <c r="C501" t="s">
        <v>15</v>
      </c>
      <c r="D501">
        <v>5</v>
      </c>
      <c r="E501">
        <v>92</v>
      </c>
      <c r="F501">
        <v>88</v>
      </c>
      <c r="G501">
        <v>90</v>
      </c>
      <c r="H501">
        <v>91</v>
      </c>
      <c r="I501" t="s">
        <v>13</v>
      </c>
      <c r="K501">
        <v>2</v>
      </c>
    </row>
    <row r="502" spans="1:11">
      <c r="A502">
        <v>494</v>
      </c>
      <c r="B502" t="s">
        <v>71</v>
      </c>
      <c r="C502" t="s">
        <v>12</v>
      </c>
      <c r="D502">
        <v>3</v>
      </c>
      <c r="E502">
        <v>78</v>
      </c>
      <c r="F502">
        <v>72</v>
      </c>
      <c r="G502">
        <v>70</v>
      </c>
      <c r="H502">
        <v>75</v>
      </c>
      <c r="I502" t="s">
        <v>13</v>
      </c>
      <c r="J502">
        <v>7</v>
      </c>
      <c r="K502">
        <v>4</v>
      </c>
    </row>
    <row r="503" spans="1:11">
      <c r="A503">
        <v>495</v>
      </c>
      <c r="B503" t="s">
        <v>50</v>
      </c>
      <c r="C503" t="s">
        <v>15</v>
      </c>
      <c r="D503">
        <v>4</v>
      </c>
      <c r="E503">
        <v>87</v>
      </c>
      <c r="F503">
        <v>83</v>
      </c>
      <c r="G503">
        <v>81</v>
      </c>
      <c r="H503">
        <v>85</v>
      </c>
      <c r="I503" t="s">
        <v>13</v>
      </c>
      <c r="J503">
        <v>6</v>
      </c>
      <c r="K503">
        <v>3</v>
      </c>
    </row>
    <row r="504" spans="1:11">
      <c r="A504">
        <v>496</v>
      </c>
      <c r="C504" t="s">
        <v>15</v>
      </c>
      <c r="D504">
        <v>2</v>
      </c>
      <c r="E504">
        <v>68</v>
      </c>
      <c r="F504">
        <v>60</v>
      </c>
      <c r="G504">
        <v>58</v>
      </c>
      <c r="H504">
        <v>64</v>
      </c>
      <c r="I504" t="s">
        <v>16</v>
      </c>
      <c r="J504">
        <v>8</v>
      </c>
      <c r="K504">
        <v>5</v>
      </c>
    </row>
    <row r="505" spans="1:11">
      <c r="A505">
        <v>497</v>
      </c>
      <c r="B505" t="s">
        <v>154</v>
      </c>
      <c r="C505" t="s">
        <v>15</v>
      </c>
      <c r="D505">
        <v>5</v>
      </c>
      <c r="E505">
        <v>91</v>
      </c>
      <c r="F505">
        <v>87</v>
      </c>
      <c r="G505">
        <v>88</v>
      </c>
      <c r="H505">
        <v>90</v>
      </c>
      <c r="I505" t="s">
        <v>13</v>
      </c>
      <c r="J505">
        <v>6</v>
      </c>
      <c r="K505">
        <v>2</v>
      </c>
    </row>
    <row r="506" spans="1:11">
      <c r="A506">
        <v>498</v>
      </c>
      <c r="B506" t="s">
        <v>156</v>
      </c>
      <c r="C506" t="s">
        <v>12</v>
      </c>
      <c r="D506">
        <v>6</v>
      </c>
      <c r="E506">
        <v>94</v>
      </c>
      <c r="F506">
        <v>91</v>
      </c>
      <c r="G506">
        <v>90</v>
      </c>
      <c r="H506">
        <v>92</v>
      </c>
      <c r="I506" t="s">
        <v>16</v>
      </c>
      <c r="J506">
        <v>6</v>
      </c>
      <c r="K506">
        <v>2</v>
      </c>
    </row>
    <row r="507" spans="1:11">
      <c r="A507">
        <v>499</v>
      </c>
      <c r="B507" t="s">
        <v>37</v>
      </c>
      <c r="C507" t="s">
        <v>12</v>
      </c>
      <c r="D507">
        <v>3</v>
      </c>
      <c r="E507">
        <v>80</v>
      </c>
      <c r="F507">
        <v>75</v>
      </c>
      <c r="G507">
        <v>73</v>
      </c>
      <c r="H507">
        <v>78</v>
      </c>
      <c r="I507" t="s">
        <v>13</v>
      </c>
      <c r="J507">
        <v>7</v>
      </c>
      <c r="K507">
        <v>4</v>
      </c>
    </row>
    <row r="508" spans="1:11">
      <c r="A508">
        <v>500</v>
      </c>
      <c r="B508" t="s">
        <v>28</v>
      </c>
      <c r="C508" t="s">
        <v>15</v>
      </c>
      <c r="D508">
        <v>4</v>
      </c>
      <c r="E508">
        <v>85</v>
      </c>
      <c r="F508">
        <v>80</v>
      </c>
      <c r="G508">
        <v>82</v>
      </c>
      <c r="H508">
        <v>84</v>
      </c>
      <c r="I508" t="s">
        <v>13</v>
      </c>
      <c r="J508">
        <v>7</v>
      </c>
      <c r="K508">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B503"/>
  <sheetViews>
    <sheetView topLeftCell="B1" zoomScale="60" zoomScaleNormal="60" workbookViewId="0">
      <selection activeCell="AB15" sqref="AB15"/>
    </sheetView>
  </sheetViews>
  <sheetFormatPr defaultRowHeight="14.5"/>
  <cols>
    <col min="2" max="2" width="10.08984375" bestFit="1" customWidth="1"/>
    <col min="3" max="3" width="8.90625" bestFit="1" customWidth="1"/>
    <col min="4" max="4" width="7.453125" bestFit="1" customWidth="1"/>
    <col min="5" max="5" width="19.54296875" bestFit="1" customWidth="1"/>
    <col min="6" max="6" width="13.6328125" bestFit="1" customWidth="1"/>
    <col min="7" max="7" width="16.08984375" bestFit="1" customWidth="1"/>
    <col min="8" max="8" width="13.7265625" bestFit="1" customWidth="1"/>
    <col min="9" max="9" width="15.90625" bestFit="1" customWidth="1"/>
    <col min="10" max="10" width="13.54296875" bestFit="1" customWidth="1"/>
    <col min="11" max="11" width="11.26953125" bestFit="1" customWidth="1"/>
    <col min="12" max="12" width="22" bestFit="1" customWidth="1"/>
    <col min="13" max="13" width="10.54296875" bestFit="1" customWidth="1"/>
    <col min="14" max="14" width="13.1796875" bestFit="1" customWidth="1"/>
    <col min="15" max="15" width="18" bestFit="1" customWidth="1"/>
    <col min="16" max="16" width="14.36328125" bestFit="1" customWidth="1"/>
    <col min="18" max="18" width="14.81640625" bestFit="1" customWidth="1"/>
    <col min="19" max="19" width="17.81640625" bestFit="1" customWidth="1"/>
    <col min="20" max="20" width="17.81640625" customWidth="1"/>
    <col min="27" max="27" width="30.54296875" bestFit="1" customWidth="1"/>
  </cols>
  <sheetData>
    <row r="2" spans="2:28" ht="15" thickBot="1"/>
    <row r="3" spans="2:28">
      <c r="B3" s="16" t="s">
        <v>0</v>
      </c>
      <c r="C3" s="17" t="s">
        <v>1</v>
      </c>
      <c r="D3" s="17" t="s">
        <v>2</v>
      </c>
      <c r="E3" s="17" t="s">
        <v>3</v>
      </c>
      <c r="F3" s="17" t="s">
        <v>4</v>
      </c>
      <c r="G3" s="17" t="s">
        <v>5</v>
      </c>
      <c r="H3" s="17" t="s">
        <v>6</v>
      </c>
      <c r="I3" s="17" t="s">
        <v>7</v>
      </c>
      <c r="J3" s="17" t="s">
        <v>8</v>
      </c>
      <c r="K3" s="17" t="s">
        <v>9</v>
      </c>
      <c r="L3" s="17" t="s">
        <v>10</v>
      </c>
      <c r="M3" s="17" t="s">
        <v>166</v>
      </c>
      <c r="N3" s="18" t="s">
        <v>167</v>
      </c>
      <c r="O3" s="17" t="s">
        <v>168</v>
      </c>
      <c r="P3" s="17" t="s">
        <v>169</v>
      </c>
      <c r="Q3" s="17" t="s">
        <v>170</v>
      </c>
      <c r="R3" s="17" t="s">
        <v>171</v>
      </c>
      <c r="S3" s="17" t="s">
        <v>172</v>
      </c>
      <c r="T3" s="17" t="s">
        <v>193</v>
      </c>
      <c r="U3" s="19" t="s">
        <v>175</v>
      </c>
      <c r="AA3" s="26" t="s">
        <v>173</v>
      </c>
      <c r="AB3" s="26"/>
    </row>
    <row r="4" spans="2:28">
      <c r="B4" s="20">
        <v>1</v>
      </c>
      <c r="C4" s="14" t="s">
        <v>11</v>
      </c>
      <c r="D4" s="14" t="s">
        <v>12</v>
      </c>
      <c r="E4" s="14">
        <v>3</v>
      </c>
      <c r="F4" s="14">
        <v>85</v>
      </c>
      <c r="G4" s="14">
        <v>78</v>
      </c>
      <c r="H4" s="14">
        <v>72</v>
      </c>
      <c r="I4" s="14">
        <v>80</v>
      </c>
      <c r="J4" s="14" t="s">
        <v>13</v>
      </c>
      <c r="K4" s="14">
        <v>7</v>
      </c>
      <c r="L4" s="14">
        <v>3</v>
      </c>
      <c r="M4" s="15">
        <f>SUM(G4:I4)</f>
        <v>230</v>
      </c>
      <c r="N4" s="15">
        <f>AVERAGE(G4:I4)</f>
        <v>76.666666666666671</v>
      </c>
      <c r="O4" s="14" t="str">
        <f>IF(N4&gt;= 80, "Excellent",IF(N4&gt;=60, "Good","Needs Improvement"))</f>
        <v>Good</v>
      </c>
      <c r="P4" s="15">
        <f>IF(E4,N4/E4,0)</f>
        <v>25.555555555555557</v>
      </c>
      <c r="Q4" s="14" t="str">
        <f>IF(AND(F4 &lt; 75,N4 &lt; 60),"Yes", "No")</f>
        <v>No</v>
      </c>
      <c r="R4" s="14" t="str">
        <f>IF(AND(N4&gt;=80,E4&lt;=2),"Smart Students","Normal Students")</f>
        <v>Normal Students</v>
      </c>
      <c r="S4" s="14" t="str">
        <f>IF(AND(F4&gt;=75,K4&gt;=6,N4&gt;=80),"Balanced Student","Unbalanced Student")</f>
        <v>Unbalanced Student</v>
      </c>
      <c r="T4" s="14" t="str">
        <f>IF(F4&gt;= 80, "High",
IF(F4&gt;=60,"Medium", "Low"))</f>
        <v>High</v>
      </c>
      <c r="U4" s="21" t="str">
        <f>VLOOKUP(N4,$AA$5:$AB$9,2,1)</f>
        <v>B</v>
      </c>
      <c r="AA4" s="2" t="s">
        <v>174</v>
      </c>
      <c r="AB4" s="2" t="s">
        <v>175</v>
      </c>
    </row>
    <row r="5" spans="2:28">
      <c r="B5" s="20">
        <v>2</v>
      </c>
      <c r="C5" s="14" t="s">
        <v>14</v>
      </c>
      <c r="D5" s="14" t="s">
        <v>15</v>
      </c>
      <c r="E5" s="14">
        <v>5</v>
      </c>
      <c r="F5" s="14">
        <v>92</v>
      </c>
      <c r="G5" s="14">
        <v>88</v>
      </c>
      <c r="H5" s="14">
        <v>85</v>
      </c>
      <c r="I5" s="14">
        <v>90</v>
      </c>
      <c r="J5" s="14" t="s">
        <v>16</v>
      </c>
      <c r="K5" s="14">
        <v>6</v>
      </c>
      <c r="L5" s="14">
        <v>2</v>
      </c>
      <c r="M5" s="15">
        <f t="shared" ref="M5:M68" si="0">SUM(G5:I5)</f>
        <v>263</v>
      </c>
      <c r="N5" s="15">
        <f t="shared" ref="N5:N68" si="1">AVERAGE(G5:I5)</f>
        <v>87.666666666666671</v>
      </c>
      <c r="O5" s="14" t="str">
        <f t="shared" ref="O5:O68" si="2">IF(N5&gt;= 80, "Excellent",IF(N5&gt;=60, "Good","Needs Improvement"))</f>
        <v>Excellent</v>
      </c>
      <c r="P5" s="15">
        <f t="shared" ref="P5:P68" si="3">IF(E5,N5/E5,0)</f>
        <v>17.533333333333335</v>
      </c>
      <c r="Q5" s="14" t="str">
        <f t="shared" ref="Q5:Q68" si="4">IF(AND(F5 &lt; 75,N5 &lt; 60),"Yes", "No")</f>
        <v>No</v>
      </c>
      <c r="R5" s="14" t="str">
        <f t="shared" ref="R5:R68" si="5">IF(AND(N5&gt;=80,E5&lt;=2),"Smart Students","Normal Students")</f>
        <v>Normal Students</v>
      </c>
      <c r="S5" s="14" t="str">
        <f t="shared" ref="S5:S68" si="6">IF(AND(F5&gt;=75,K5&gt;=6,N5&gt;=80),"Balanced Student","Unbalanced Student")</f>
        <v>Balanced Student</v>
      </c>
      <c r="T5" s="14" t="str">
        <f t="shared" ref="T5:T68" si="7">IF(F5&gt;= 80, "High",
IF(F5&gt;=60,"Medium", "Low"))</f>
        <v>High</v>
      </c>
      <c r="U5" s="21" t="s">
        <v>211</v>
      </c>
      <c r="AA5" s="3">
        <v>0</v>
      </c>
      <c r="AB5" s="3" t="s">
        <v>176</v>
      </c>
    </row>
    <row r="6" spans="2:28">
      <c r="B6" s="20">
        <v>3</v>
      </c>
      <c r="C6" s="14" t="s">
        <v>17</v>
      </c>
      <c r="D6" s="14" t="s">
        <v>12</v>
      </c>
      <c r="E6" s="14">
        <v>0</v>
      </c>
      <c r="F6" s="14">
        <v>70</v>
      </c>
      <c r="G6" s="14">
        <v>60</v>
      </c>
      <c r="H6" s="14">
        <v>58</v>
      </c>
      <c r="I6" s="14">
        <v>62</v>
      </c>
      <c r="J6" s="14" t="s">
        <v>13</v>
      </c>
      <c r="K6" s="14">
        <v>8</v>
      </c>
      <c r="L6" s="14">
        <v>5</v>
      </c>
      <c r="M6" s="15">
        <f t="shared" si="0"/>
        <v>180</v>
      </c>
      <c r="N6" s="15">
        <f t="shared" si="1"/>
        <v>60</v>
      </c>
      <c r="O6" s="14" t="str">
        <f t="shared" si="2"/>
        <v>Good</v>
      </c>
      <c r="P6" s="15">
        <f t="shared" si="3"/>
        <v>0</v>
      </c>
      <c r="Q6" s="14" t="str">
        <f t="shared" si="4"/>
        <v>No</v>
      </c>
      <c r="R6" s="14" t="str">
        <f t="shared" si="5"/>
        <v>Normal Students</v>
      </c>
      <c r="S6" s="14" t="str">
        <f t="shared" si="6"/>
        <v>Unbalanced Student</v>
      </c>
      <c r="T6" s="14" t="str">
        <f t="shared" si="7"/>
        <v>Medium</v>
      </c>
      <c r="U6" s="21" t="str">
        <f t="shared" ref="U6:U68" si="8">VLOOKUP(N6,$AA$5:$AB$9,2,1)</f>
        <v>C</v>
      </c>
      <c r="AA6" s="3">
        <v>50</v>
      </c>
      <c r="AB6" s="3" t="s">
        <v>177</v>
      </c>
    </row>
    <row r="7" spans="2:28">
      <c r="B7" s="20">
        <v>4</v>
      </c>
      <c r="C7" s="14" t="s">
        <v>18</v>
      </c>
      <c r="D7" s="14" t="s">
        <v>15</v>
      </c>
      <c r="E7" s="14">
        <v>4</v>
      </c>
      <c r="F7" s="14">
        <v>88</v>
      </c>
      <c r="G7" s="14">
        <v>82</v>
      </c>
      <c r="H7" s="14">
        <v>79</v>
      </c>
      <c r="I7" s="14">
        <v>85</v>
      </c>
      <c r="J7" s="14" t="s">
        <v>13</v>
      </c>
      <c r="K7" s="14">
        <v>7</v>
      </c>
      <c r="L7" s="14">
        <v>0</v>
      </c>
      <c r="M7" s="15">
        <f t="shared" si="0"/>
        <v>246</v>
      </c>
      <c r="N7" s="15">
        <f t="shared" si="1"/>
        <v>82</v>
      </c>
      <c r="O7" s="14" t="str">
        <f t="shared" si="2"/>
        <v>Excellent</v>
      </c>
      <c r="P7" s="15">
        <f t="shared" si="3"/>
        <v>20.5</v>
      </c>
      <c r="Q7" s="14" t="str">
        <f t="shared" si="4"/>
        <v>No</v>
      </c>
      <c r="R7" s="14" t="str">
        <f t="shared" si="5"/>
        <v>Normal Students</v>
      </c>
      <c r="S7" s="14" t="str">
        <f t="shared" si="6"/>
        <v>Balanced Student</v>
      </c>
      <c r="T7" s="14" t="str">
        <f t="shared" si="7"/>
        <v>High</v>
      </c>
      <c r="U7" s="21" t="str">
        <f t="shared" si="8"/>
        <v>A</v>
      </c>
      <c r="AA7" s="3">
        <v>60</v>
      </c>
      <c r="AB7" s="3" t="s">
        <v>178</v>
      </c>
    </row>
    <row r="8" spans="2:28">
      <c r="B8" s="20">
        <v>5</v>
      </c>
      <c r="C8" s="14" t="s">
        <v>19</v>
      </c>
      <c r="D8" s="14" t="s">
        <v>12</v>
      </c>
      <c r="E8" s="14">
        <v>6</v>
      </c>
      <c r="F8" s="14">
        <v>95</v>
      </c>
      <c r="G8" s="14">
        <v>90</v>
      </c>
      <c r="H8" s="14">
        <v>92</v>
      </c>
      <c r="I8" s="14">
        <v>94</v>
      </c>
      <c r="J8" s="14" t="s">
        <v>16</v>
      </c>
      <c r="K8" s="14">
        <v>6</v>
      </c>
      <c r="L8" s="14">
        <v>2</v>
      </c>
      <c r="M8" s="15">
        <f t="shared" si="0"/>
        <v>276</v>
      </c>
      <c r="N8" s="15">
        <f t="shared" si="1"/>
        <v>92</v>
      </c>
      <c r="O8" s="14" t="str">
        <f t="shared" si="2"/>
        <v>Excellent</v>
      </c>
      <c r="P8" s="15">
        <f t="shared" si="3"/>
        <v>15.333333333333334</v>
      </c>
      <c r="Q8" s="14" t="str">
        <f t="shared" si="4"/>
        <v>No</v>
      </c>
      <c r="R8" s="14" t="str">
        <f t="shared" si="5"/>
        <v>Normal Students</v>
      </c>
      <c r="S8" s="14" t="str">
        <f t="shared" si="6"/>
        <v>Balanced Student</v>
      </c>
      <c r="T8" s="14" t="str">
        <f t="shared" si="7"/>
        <v>High</v>
      </c>
      <c r="U8" s="21" t="str">
        <f t="shared" si="8"/>
        <v>A</v>
      </c>
      <c r="AA8" s="3">
        <v>70</v>
      </c>
      <c r="AB8" s="3" t="s">
        <v>179</v>
      </c>
    </row>
    <row r="9" spans="2:28">
      <c r="B9" s="20">
        <v>6</v>
      </c>
      <c r="C9" s="14" t="s">
        <v>20</v>
      </c>
      <c r="D9" s="14" t="s">
        <v>15</v>
      </c>
      <c r="E9" s="14">
        <v>3</v>
      </c>
      <c r="F9" s="14">
        <v>80</v>
      </c>
      <c r="G9" s="14">
        <v>0</v>
      </c>
      <c r="H9" s="14">
        <v>70</v>
      </c>
      <c r="I9" s="14">
        <v>78</v>
      </c>
      <c r="J9" s="14" t="s">
        <v>13</v>
      </c>
      <c r="K9" s="14">
        <v>7</v>
      </c>
      <c r="L9" s="14">
        <v>4</v>
      </c>
      <c r="M9" s="15">
        <f t="shared" si="0"/>
        <v>148</v>
      </c>
      <c r="N9" s="15">
        <f t="shared" si="1"/>
        <v>49.333333333333336</v>
      </c>
      <c r="O9" s="14" t="str">
        <f t="shared" si="2"/>
        <v>Needs Improvement</v>
      </c>
      <c r="P9" s="15">
        <f t="shared" si="3"/>
        <v>16.444444444444446</v>
      </c>
      <c r="Q9" s="14" t="str">
        <f t="shared" si="4"/>
        <v>No</v>
      </c>
      <c r="R9" s="14" t="str">
        <f t="shared" si="5"/>
        <v>Normal Students</v>
      </c>
      <c r="S9" s="14" t="str">
        <f t="shared" si="6"/>
        <v>Unbalanced Student</v>
      </c>
      <c r="T9" s="14" t="str">
        <f t="shared" si="7"/>
        <v>High</v>
      </c>
      <c r="U9" s="21" t="str">
        <f t="shared" si="8"/>
        <v>F</v>
      </c>
      <c r="AA9" s="3">
        <v>80</v>
      </c>
      <c r="AB9" s="3" t="s">
        <v>180</v>
      </c>
    </row>
    <row r="10" spans="2:28">
      <c r="B10" s="20">
        <v>7</v>
      </c>
      <c r="C10" s="14" t="s">
        <v>21</v>
      </c>
      <c r="D10" s="14" t="s">
        <v>12</v>
      </c>
      <c r="E10" s="14">
        <v>1</v>
      </c>
      <c r="F10" s="14">
        <v>65</v>
      </c>
      <c r="G10" s="14">
        <v>85</v>
      </c>
      <c r="H10" s="14">
        <v>90</v>
      </c>
      <c r="I10" s="14">
        <v>78</v>
      </c>
      <c r="J10" s="14" t="s">
        <v>16</v>
      </c>
      <c r="K10" s="14">
        <v>8</v>
      </c>
      <c r="L10" s="14">
        <v>6</v>
      </c>
      <c r="M10" s="15">
        <f t="shared" si="0"/>
        <v>253</v>
      </c>
      <c r="N10" s="15">
        <f t="shared" si="1"/>
        <v>84.333333333333329</v>
      </c>
      <c r="O10" s="14" t="str">
        <f t="shared" si="2"/>
        <v>Excellent</v>
      </c>
      <c r="P10" s="15">
        <f t="shared" si="3"/>
        <v>84.333333333333329</v>
      </c>
      <c r="Q10" s="14" t="str">
        <f t="shared" si="4"/>
        <v>No</v>
      </c>
      <c r="R10" s="14" t="str">
        <f t="shared" si="5"/>
        <v>Smart Students</v>
      </c>
      <c r="S10" s="14" t="str">
        <f t="shared" si="6"/>
        <v>Unbalanced Student</v>
      </c>
      <c r="T10" s="14" t="str">
        <f t="shared" si="7"/>
        <v>Medium</v>
      </c>
      <c r="U10" s="21" t="str">
        <f t="shared" si="8"/>
        <v>A</v>
      </c>
    </row>
    <row r="11" spans="2:28">
      <c r="B11" s="20">
        <v>8</v>
      </c>
      <c r="C11" s="14" t="s">
        <v>22</v>
      </c>
      <c r="D11" s="14" t="s">
        <v>15</v>
      </c>
      <c r="E11" s="14">
        <v>5</v>
      </c>
      <c r="F11" s="14">
        <v>90</v>
      </c>
      <c r="G11" s="14">
        <v>85</v>
      </c>
      <c r="H11" s="14">
        <v>87</v>
      </c>
      <c r="I11" s="14">
        <v>89</v>
      </c>
      <c r="J11" s="14" t="s">
        <v>13</v>
      </c>
      <c r="K11" s="14">
        <v>0</v>
      </c>
      <c r="L11" s="14">
        <v>2</v>
      </c>
      <c r="M11" s="15">
        <f t="shared" si="0"/>
        <v>261</v>
      </c>
      <c r="N11" s="15">
        <f t="shared" si="1"/>
        <v>87</v>
      </c>
      <c r="O11" s="14" t="str">
        <f t="shared" si="2"/>
        <v>Excellent</v>
      </c>
      <c r="P11" s="15">
        <f t="shared" si="3"/>
        <v>17.399999999999999</v>
      </c>
      <c r="Q11" s="14" t="str">
        <f t="shared" si="4"/>
        <v>No</v>
      </c>
      <c r="R11" s="14" t="str">
        <f t="shared" si="5"/>
        <v>Normal Students</v>
      </c>
      <c r="S11" s="14" t="str">
        <f t="shared" si="6"/>
        <v>Unbalanced Student</v>
      </c>
      <c r="T11" s="14" t="str">
        <f t="shared" si="7"/>
        <v>High</v>
      </c>
      <c r="U11" s="21" t="str">
        <f t="shared" si="8"/>
        <v>A</v>
      </c>
    </row>
    <row r="12" spans="2:28">
      <c r="B12" s="20">
        <v>9</v>
      </c>
      <c r="C12" s="14" t="s">
        <v>23</v>
      </c>
      <c r="D12" s="14" t="s">
        <v>12</v>
      </c>
      <c r="E12" s="14">
        <v>4</v>
      </c>
      <c r="F12" s="14">
        <v>85</v>
      </c>
      <c r="G12" s="14">
        <v>80</v>
      </c>
      <c r="H12" s="14">
        <v>78</v>
      </c>
      <c r="I12" s="14">
        <v>82</v>
      </c>
      <c r="J12" s="14" t="s">
        <v>13</v>
      </c>
      <c r="K12" s="14">
        <v>7</v>
      </c>
      <c r="L12" s="14">
        <v>3</v>
      </c>
      <c r="M12" s="15">
        <f t="shared" si="0"/>
        <v>240</v>
      </c>
      <c r="N12" s="15">
        <f t="shared" si="1"/>
        <v>80</v>
      </c>
      <c r="O12" s="14" t="str">
        <f t="shared" si="2"/>
        <v>Excellent</v>
      </c>
      <c r="P12" s="15">
        <f t="shared" si="3"/>
        <v>20</v>
      </c>
      <c r="Q12" s="14" t="str">
        <f t="shared" si="4"/>
        <v>No</v>
      </c>
      <c r="R12" s="14" t="str">
        <f t="shared" si="5"/>
        <v>Normal Students</v>
      </c>
      <c r="S12" s="14" t="str">
        <f t="shared" si="6"/>
        <v>Balanced Student</v>
      </c>
      <c r="T12" s="14" t="str">
        <f t="shared" si="7"/>
        <v>High</v>
      </c>
      <c r="U12" s="21" t="str">
        <f t="shared" si="8"/>
        <v>A</v>
      </c>
      <c r="AA12" s="26" t="s">
        <v>185</v>
      </c>
      <c r="AB12" s="26"/>
    </row>
    <row r="13" spans="2:28">
      <c r="B13" s="20">
        <v>10</v>
      </c>
      <c r="C13" s="14" t="s">
        <v>24</v>
      </c>
      <c r="D13" s="14" t="s">
        <v>15</v>
      </c>
      <c r="E13" s="14">
        <v>6</v>
      </c>
      <c r="F13" s="14">
        <v>96</v>
      </c>
      <c r="G13" s="14">
        <v>72</v>
      </c>
      <c r="H13" s="14">
        <v>94</v>
      </c>
      <c r="I13" s="14">
        <v>95</v>
      </c>
      <c r="J13" s="14" t="s">
        <v>16</v>
      </c>
      <c r="K13" s="14">
        <v>6</v>
      </c>
      <c r="L13" s="14">
        <v>2</v>
      </c>
      <c r="M13" s="15">
        <f t="shared" si="0"/>
        <v>261</v>
      </c>
      <c r="N13" s="15">
        <f t="shared" si="1"/>
        <v>87</v>
      </c>
      <c r="O13" s="14" t="str">
        <f t="shared" si="2"/>
        <v>Excellent</v>
      </c>
      <c r="P13" s="15">
        <f t="shared" si="3"/>
        <v>14.5</v>
      </c>
      <c r="Q13" s="14" t="str">
        <f t="shared" si="4"/>
        <v>No</v>
      </c>
      <c r="R13" s="14" t="str">
        <f t="shared" si="5"/>
        <v>Normal Students</v>
      </c>
      <c r="S13" s="14" t="str">
        <f t="shared" si="6"/>
        <v>Balanced Student</v>
      </c>
      <c r="T13" s="14" t="str">
        <f t="shared" si="7"/>
        <v>High</v>
      </c>
      <c r="U13" s="21" t="str">
        <f t="shared" si="8"/>
        <v>A</v>
      </c>
      <c r="AA13" t="s">
        <v>181</v>
      </c>
      <c r="AB13" s="4">
        <f>AVERAGE(E4:E503)</f>
        <v>3.6080000000000001</v>
      </c>
    </row>
    <row r="14" spans="2:28">
      <c r="B14" s="20">
        <v>11</v>
      </c>
      <c r="C14" s="14" t="s">
        <v>25</v>
      </c>
      <c r="D14" s="14" t="s">
        <v>12</v>
      </c>
      <c r="E14" s="14">
        <v>2</v>
      </c>
      <c r="F14" s="14">
        <v>75</v>
      </c>
      <c r="G14" s="14">
        <v>65</v>
      </c>
      <c r="H14" s="14">
        <v>60</v>
      </c>
      <c r="I14" s="14">
        <v>68</v>
      </c>
      <c r="J14" s="14" t="s">
        <v>13</v>
      </c>
      <c r="K14" s="14">
        <v>7</v>
      </c>
      <c r="L14" s="14">
        <v>5</v>
      </c>
      <c r="M14" s="15">
        <f t="shared" si="0"/>
        <v>193</v>
      </c>
      <c r="N14" s="15">
        <f t="shared" si="1"/>
        <v>64.333333333333329</v>
      </c>
      <c r="O14" s="14" t="str">
        <f t="shared" si="2"/>
        <v>Good</v>
      </c>
      <c r="P14" s="15">
        <f t="shared" si="3"/>
        <v>32.166666666666664</v>
      </c>
      <c r="Q14" s="14" t="str">
        <f t="shared" si="4"/>
        <v>No</v>
      </c>
      <c r="R14" s="14" t="str">
        <f t="shared" si="5"/>
        <v>Normal Students</v>
      </c>
      <c r="S14" s="14" t="str">
        <f t="shared" si="6"/>
        <v>Unbalanced Student</v>
      </c>
      <c r="T14" s="14" t="str">
        <f t="shared" si="7"/>
        <v>Medium</v>
      </c>
      <c r="U14" s="21" t="str">
        <f t="shared" si="8"/>
        <v>C</v>
      </c>
      <c r="AA14" t="s">
        <v>182</v>
      </c>
      <c r="AB14" s="4">
        <f>MEDIAN(E4:E503)</f>
        <v>4</v>
      </c>
    </row>
    <row r="15" spans="2:28">
      <c r="B15" s="20">
        <v>12</v>
      </c>
      <c r="C15" s="14" t="s">
        <v>26</v>
      </c>
      <c r="D15" s="14" t="s">
        <v>15</v>
      </c>
      <c r="E15" s="14">
        <v>4</v>
      </c>
      <c r="F15" s="14">
        <v>88</v>
      </c>
      <c r="G15" s="14">
        <v>84</v>
      </c>
      <c r="H15" s="14">
        <v>82</v>
      </c>
      <c r="I15" s="14">
        <v>86</v>
      </c>
      <c r="J15" s="14" t="s">
        <v>13</v>
      </c>
      <c r="K15" s="14">
        <v>6</v>
      </c>
      <c r="L15" s="14">
        <v>3</v>
      </c>
      <c r="M15" s="15">
        <f t="shared" si="0"/>
        <v>252</v>
      </c>
      <c r="N15" s="15">
        <f t="shared" si="1"/>
        <v>84</v>
      </c>
      <c r="O15" s="14" t="str">
        <f t="shared" si="2"/>
        <v>Excellent</v>
      </c>
      <c r="P15" s="15">
        <f t="shared" si="3"/>
        <v>21</v>
      </c>
      <c r="Q15" s="14" t="str">
        <f t="shared" si="4"/>
        <v>No</v>
      </c>
      <c r="R15" s="14" t="str">
        <f t="shared" si="5"/>
        <v>Normal Students</v>
      </c>
      <c r="S15" s="14" t="str">
        <f t="shared" si="6"/>
        <v>Balanced Student</v>
      </c>
      <c r="T15" s="14" t="str">
        <f t="shared" si="7"/>
        <v>High</v>
      </c>
      <c r="U15" s="21" t="str">
        <f t="shared" si="8"/>
        <v>A</v>
      </c>
      <c r="AA15" t="s">
        <v>183</v>
      </c>
      <c r="AB15" s="4">
        <f>MODE(E4:E503)</f>
        <v>3</v>
      </c>
    </row>
    <row r="16" spans="2:28">
      <c r="B16" s="20">
        <v>13</v>
      </c>
      <c r="C16" s="14" t="s">
        <v>27</v>
      </c>
      <c r="D16" s="14" t="s">
        <v>12</v>
      </c>
      <c r="E16" s="14">
        <v>3</v>
      </c>
      <c r="F16" s="14">
        <v>82</v>
      </c>
      <c r="G16" s="14">
        <v>78</v>
      </c>
      <c r="H16" s="14">
        <v>74</v>
      </c>
      <c r="I16" s="14">
        <v>79</v>
      </c>
      <c r="J16" s="14" t="s">
        <v>16</v>
      </c>
      <c r="K16" s="14">
        <v>7</v>
      </c>
      <c r="L16" s="14">
        <v>4</v>
      </c>
      <c r="M16" s="15">
        <f t="shared" si="0"/>
        <v>231</v>
      </c>
      <c r="N16" s="15">
        <f t="shared" si="1"/>
        <v>77</v>
      </c>
      <c r="O16" s="14" t="str">
        <f t="shared" si="2"/>
        <v>Good</v>
      </c>
      <c r="P16" s="15">
        <f t="shared" si="3"/>
        <v>25.666666666666668</v>
      </c>
      <c r="Q16" s="14" t="str">
        <f t="shared" si="4"/>
        <v>No</v>
      </c>
      <c r="R16" s="14" t="str">
        <f t="shared" si="5"/>
        <v>Normal Students</v>
      </c>
      <c r="S16" s="14" t="str">
        <f t="shared" si="6"/>
        <v>Unbalanced Student</v>
      </c>
      <c r="T16" s="14" t="str">
        <f t="shared" si="7"/>
        <v>High</v>
      </c>
      <c r="U16" s="21" t="str">
        <f t="shared" si="8"/>
        <v>B</v>
      </c>
      <c r="AA16" t="s">
        <v>184</v>
      </c>
      <c r="AB16" s="4">
        <f>STDEV(E4:E503)</f>
        <v>1.4235128301336484</v>
      </c>
    </row>
    <row r="17" spans="2:28">
      <c r="B17" s="20">
        <v>14</v>
      </c>
      <c r="C17" s="14" t="s">
        <v>28</v>
      </c>
      <c r="D17" s="14" t="s">
        <v>15</v>
      </c>
      <c r="E17" s="14">
        <v>5</v>
      </c>
      <c r="F17" s="14">
        <v>91</v>
      </c>
      <c r="G17" s="14">
        <v>87</v>
      </c>
      <c r="H17" s="14">
        <v>88</v>
      </c>
      <c r="I17" s="14">
        <v>90</v>
      </c>
      <c r="J17" s="14" t="s">
        <v>13</v>
      </c>
      <c r="K17" s="14">
        <v>6</v>
      </c>
      <c r="L17" s="14">
        <v>2</v>
      </c>
      <c r="M17" s="15">
        <f t="shared" si="0"/>
        <v>265</v>
      </c>
      <c r="N17" s="15">
        <f t="shared" si="1"/>
        <v>88.333333333333329</v>
      </c>
      <c r="O17" s="14" t="str">
        <f t="shared" si="2"/>
        <v>Excellent</v>
      </c>
      <c r="P17" s="15">
        <f t="shared" si="3"/>
        <v>17.666666666666664</v>
      </c>
      <c r="Q17" s="14" t="str">
        <f t="shared" si="4"/>
        <v>No</v>
      </c>
      <c r="R17" s="14" t="str">
        <f t="shared" si="5"/>
        <v>Normal Students</v>
      </c>
      <c r="S17" s="14" t="str">
        <f t="shared" si="6"/>
        <v>Balanced Student</v>
      </c>
      <c r="T17" s="14" t="str">
        <f t="shared" si="7"/>
        <v>High</v>
      </c>
      <c r="U17" s="21" t="str">
        <f t="shared" si="8"/>
        <v>A</v>
      </c>
    </row>
    <row r="18" spans="2:28">
      <c r="B18" s="20">
        <v>15</v>
      </c>
      <c r="C18" s="14" t="s">
        <v>29</v>
      </c>
      <c r="D18" s="14" t="s">
        <v>12</v>
      </c>
      <c r="E18" s="14">
        <v>2</v>
      </c>
      <c r="F18" s="14">
        <v>68</v>
      </c>
      <c r="G18" s="14">
        <v>60</v>
      </c>
      <c r="H18" s="14">
        <v>0</v>
      </c>
      <c r="I18" s="14">
        <v>65</v>
      </c>
      <c r="J18" s="14" t="s">
        <v>16</v>
      </c>
      <c r="K18" s="14">
        <v>8</v>
      </c>
      <c r="L18" s="14">
        <v>5</v>
      </c>
      <c r="M18" s="15">
        <f t="shared" si="0"/>
        <v>125</v>
      </c>
      <c r="N18" s="15">
        <f t="shared" si="1"/>
        <v>41.666666666666664</v>
      </c>
      <c r="O18" s="14" t="str">
        <f t="shared" si="2"/>
        <v>Needs Improvement</v>
      </c>
      <c r="P18" s="15">
        <f t="shared" si="3"/>
        <v>20.833333333333332</v>
      </c>
      <c r="Q18" s="14" t="str">
        <f t="shared" si="4"/>
        <v>Yes</v>
      </c>
      <c r="R18" s="14" t="str">
        <f t="shared" si="5"/>
        <v>Normal Students</v>
      </c>
      <c r="S18" s="14" t="str">
        <f t="shared" si="6"/>
        <v>Unbalanced Student</v>
      </c>
      <c r="T18" s="14" t="str">
        <f t="shared" si="7"/>
        <v>Medium</v>
      </c>
      <c r="U18" s="21" t="str">
        <f t="shared" si="8"/>
        <v>F</v>
      </c>
      <c r="AA18" s="26" t="s">
        <v>186</v>
      </c>
      <c r="AB18" s="26"/>
    </row>
    <row r="19" spans="2:28">
      <c r="B19" s="20">
        <v>16</v>
      </c>
      <c r="C19" s="14" t="s">
        <v>30</v>
      </c>
      <c r="D19" s="14" t="s">
        <v>15</v>
      </c>
      <c r="E19" s="14">
        <v>4</v>
      </c>
      <c r="F19" s="14">
        <v>86</v>
      </c>
      <c r="G19" s="14">
        <v>80</v>
      </c>
      <c r="H19" s="14">
        <v>82</v>
      </c>
      <c r="I19" s="14">
        <v>84</v>
      </c>
      <c r="J19" s="14" t="s">
        <v>13</v>
      </c>
      <c r="K19" s="14">
        <v>7</v>
      </c>
      <c r="L19" s="14">
        <v>3</v>
      </c>
      <c r="M19" s="15">
        <f t="shared" si="0"/>
        <v>246</v>
      </c>
      <c r="N19" s="15">
        <f t="shared" si="1"/>
        <v>82</v>
      </c>
      <c r="O19" s="14" t="str">
        <f t="shared" si="2"/>
        <v>Excellent</v>
      </c>
      <c r="P19" s="15">
        <f t="shared" si="3"/>
        <v>20.5</v>
      </c>
      <c r="Q19" s="14" t="str">
        <f t="shared" si="4"/>
        <v>No</v>
      </c>
      <c r="R19" s="14" t="str">
        <f t="shared" si="5"/>
        <v>Normal Students</v>
      </c>
      <c r="S19" s="14" t="str">
        <f t="shared" si="6"/>
        <v>Balanced Student</v>
      </c>
      <c r="T19" s="14" t="str">
        <f t="shared" si="7"/>
        <v>High</v>
      </c>
      <c r="U19" s="21" t="str">
        <f t="shared" si="8"/>
        <v>A</v>
      </c>
      <c r="AA19" t="s">
        <v>187</v>
      </c>
      <c r="AB19" s="5">
        <f>AVERAGE(M4:M503)</f>
        <v>233.71600000000001</v>
      </c>
    </row>
    <row r="20" spans="2:28">
      <c r="B20" s="20">
        <v>17</v>
      </c>
      <c r="C20" s="14" t="s">
        <v>31</v>
      </c>
      <c r="D20" s="14" t="s">
        <v>12</v>
      </c>
      <c r="E20" s="14">
        <v>6</v>
      </c>
      <c r="F20" s="14">
        <v>94</v>
      </c>
      <c r="G20" s="14">
        <v>91</v>
      </c>
      <c r="H20" s="14">
        <v>90</v>
      </c>
      <c r="I20" s="14">
        <v>93</v>
      </c>
      <c r="J20" s="14" t="s">
        <v>16</v>
      </c>
      <c r="K20" s="14">
        <v>6</v>
      </c>
      <c r="L20" s="14">
        <v>2</v>
      </c>
      <c r="M20" s="15">
        <f t="shared" si="0"/>
        <v>274</v>
      </c>
      <c r="N20" s="15">
        <f t="shared" si="1"/>
        <v>91.333333333333329</v>
      </c>
      <c r="O20" s="14" t="str">
        <f t="shared" si="2"/>
        <v>Excellent</v>
      </c>
      <c r="P20" s="15">
        <f t="shared" si="3"/>
        <v>15.222222222222221</v>
      </c>
      <c r="Q20" s="14" t="str">
        <f t="shared" si="4"/>
        <v>No</v>
      </c>
      <c r="R20" s="14" t="str">
        <f t="shared" si="5"/>
        <v>Normal Students</v>
      </c>
      <c r="S20" s="14" t="str">
        <f t="shared" si="6"/>
        <v>Balanced Student</v>
      </c>
      <c r="T20" s="14" t="str">
        <f t="shared" si="7"/>
        <v>High</v>
      </c>
      <c r="U20" s="21" t="str">
        <f t="shared" si="8"/>
        <v>A</v>
      </c>
      <c r="AA20" t="s">
        <v>188</v>
      </c>
      <c r="AB20" s="5">
        <f>MEDIAN(M4:M503)</f>
        <v>246</v>
      </c>
    </row>
    <row r="21" spans="2:28">
      <c r="B21" s="20">
        <v>18</v>
      </c>
      <c r="C21" s="14" t="s">
        <v>32</v>
      </c>
      <c r="D21" s="14" t="s">
        <v>15</v>
      </c>
      <c r="E21" s="14">
        <v>3</v>
      </c>
      <c r="F21" s="14">
        <v>78</v>
      </c>
      <c r="G21" s="14">
        <v>72</v>
      </c>
      <c r="H21" s="14">
        <v>70</v>
      </c>
      <c r="I21" s="14">
        <v>75</v>
      </c>
      <c r="J21" s="14" t="s">
        <v>13</v>
      </c>
      <c r="K21" s="14">
        <v>7</v>
      </c>
      <c r="L21" s="14">
        <v>4</v>
      </c>
      <c r="M21" s="15">
        <f t="shared" si="0"/>
        <v>217</v>
      </c>
      <c r="N21" s="15">
        <f t="shared" si="1"/>
        <v>72.333333333333329</v>
      </c>
      <c r="O21" s="14" t="str">
        <f t="shared" si="2"/>
        <v>Good</v>
      </c>
      <c r="P21" s="15">
        <f t="shared" si="3"/>
        <v>24.111111111111111</v>
      </c>
      <c r="Q21" s="14" t="str">
        <f t="shared" si="4"/>
        <v>No</v>
      </c>
      <c r="R21" s="14" t="str">
        <f t="shared" si="5"/>
        <v>Normal Students</v>
      </c>
      <c r="S21" s="14" t="str">
        <f t="shared" si="6"/>
        <v>Unbalanced Student</v>
      </c>
      <c r="T21" s="14" t="str">
        <f t="shared" si="7"/>
        <v>Medium</v>
      </c>
      <c r="U21" s="21" t="str">
        <f t="shared" si="8"/>
        <v>B</v>
      </c>
      <c r="AA21" t="s">
        <v>189</v>
      </c>
      <c r="AB21" s="4">
        <f>MODE(M4:M503)</f>
        <v>246</v>
      </c>
    </row>
    <row r="22" spans="2:28">
      <c r="B22" s="20">
        <v>19</v>
      </c>
      <c r="C22" s="14" t="s">
        <v>33</v>
      </c>
      <c r="D22" s="14" t="s">
        <v>12</v>
      </c>
      <c r="E22" s="14">
        <v>2</v>
      </c>
      <c r="F22" s="14">
        <v>72</v>
      </c>
      <c r="G22" s="14">
        <v>65</v>
      </c>
      <c r="H22" s="14">
        <v>63</v>
      </c>
      <c r="I22" s="14">
        <v>67</v>
      </c>
      <c r="J22" s="14" t="s">
        <v>16</v>
      </c>
      <c r="K22" s="14">
        <v>8</v>
      </c>
      <c r="L22" s="14">
        <v>5</v>
      </c>
      <c r="M22" s="15">
        <f t="shared" si="0"/>
        <v>195</v>
      </c>
      <c r="N22" s="15">
        <f t="shared" si="1"/>
        <v>65</v>
      </c>
      <c r="O22" s="14" t="str">
        <f t="shared" si="2"/>
        <v>Good</v>
      </c>
      <c r="P22" s="15">
        <f t="shared" si="3"/>
        <v>32.5</v>
      </c>
      <c r="Q22" s="14" t="str">
        <f t="shared" si="4"/>
        <v>No</v>
      </c>
      <c r="R22" s="14" t="str">
        <f t="shared" si="5"/>
        <v>Normal Students</v>
      </c>
      <c r="S22" s="14" t="str">
        <f t="shared" si="6"/>
        <v>Unbalanced Student</v>
      </c>
      <c r="T22" s="14" t="str">
        <f t="shared" si="7"/>
        <v>Medium</v>
      </c>
      <c r="U22" s="21" t="str">
        <f t="shared" si="8"/>
        <v>C</v>
      </c>
      <c r="AA22" t="s">
        <v>190</v>
      </c>
      <c r="AB22" s="4">
        <f>STDEV(M4:M503)</f>
        <v>32.787029792972817</v>
      </c>
    </row>
    <row r="23" spans="2:28">
      <c r="B23" s="20">
        <v>20</v>
      </c>
      <c r="C23" s="14" t="s">
        <v>34</v>
      </c>
      <c r="D23" s="14" t="s">
        <v>15</v>
      </c>
      <c r="E23" s="14">
        <v>5</v>
      </c>
      <c r="F23" s="14">
        <v>90</v>
      </c>
      <c r="G23" s="14">
        <v>86</v>
      </c>
      <c r="H23" s="14">
        <v>88</v>
      </c>
      <c r="I23" s="14">
        <v>89</v>
      </c>
      <c r="J23" s="14" t="s">
        <v>13</v>
      </c>
      <c r="K23" s="14">
        <v>6</v>
      </c>
      <c r="L23" s="14">
        <v>2</v>
      </c>
      <c r="M23" s="15">
        <f t="shared" si="0"/>
        <v>263</v>
      </c>
      <c r="N23" s="15">
        <f t="shared" si="1"/>
        <v>87.666666666666671</v>
      </c>
      <c r="O23" s="14" t="str">
        <f t="shared" si="2"/>
        <v>Excellent</v>
      </c>
      <c r="P23" s="15">
        <f t="shared" si="3"/>
        <v>17.533333333333335</v>
      </c>
      <c r="Q23" s="14" t="str">
        <f t="shared" si="4"/>
        <v>No</v>
      </c>
      <c r="R23" s="14" t="str">
        <f t="shared" si="5"/>
        <v>Normal Students</v>
      </c>
      <c r="S23" s="14" t="str">
        <f t="shared" si="6"/>
        <v>Balanced Student</v>
      </c>
      <c r="T23" s="14" t="str">
        <f t="shared" si="7"/>
        <v>High</v>
      </c>
      <c r="U23" s="21" t="str">
        <f t="shared" si="8"/>
        <v>A</v>
      </c>
    </row>
    <row r="24" spans="2:28">
      <c r="B24" s="20">
        <v>21</v>
      </c>
      <c r="C24" s="14" t="s">
        <v>35</v>
      </c>
      <c r="D24" s="14" t="s">
        <v>12</v>
      </c>
      <c r="E24" s="14">
        <v>3</v>
      </c>
      <c r="F24" s="14">
        <v>80</v>
      </c>
      <c r="G24" s="14">
        <v>75</v>
      </c>
      <c r="H24" s="14">
        <v>73</v>
      </c>
      <c r="I24" s="14">
        <v>77</v>
      </c>
      <c r="J24" s="14" t="s">
        <v>13</v>
      </c>
      <c r="K24" s="14">
        <v>7</v>
      </c>
      <c r="L24" s="14">
        <v>4</v>
      </c>
      <c r="M24" s="15">
        <f t="shared" si="0"/>
        <v>225</v>
      </c>
      <c r="N24" s="15">
        <f t="shared" si="1"/>
        <v>75</v>
      </c>
      <c r="O24" s="14" t="str">
        <f t="shared" si="2"/>
        <v>Good</v>
      </c>
      <c r="P24" s="15">
        <f t="shared" si="3"/>
        <v>25</v>
      </c>
      <c r="Q24" s="14" t="str">
        <f t="shared" si="4"/>
        <v>No</v>
      </c>
      <c r="R24" s="14" t="str">
        <f t="shared" si="5"/>
        <v>Normal Students</v>
      </c>
      <c r="S24" s="14" t="str">
        <f t="shared" si="6"/>
        <v>Unbalanced Student</v>
      </c>
      <c r="T24" s="14" t="str">
        <f t="shared" si="7"/>
        <v>High</v>
      </c>
      <c r="U24" s="21" t="str">
        <f t="shared" si="8"/>
        <v>B</v>
      </c>
    </row>
    <row r="25" spans="2:28">
      <c r="B25" s="20">
        <v>22</v>
      </c>
      <c r="C25" s="14" t="s">
        <v>36</v>
      </c>
      <c r="D25" s="14" t="s">
        <v>15</v>
      </c>
      <c r="E25" s="14">
        <v>4</v>
      </c>
      <c r="F25" s="14">
        <v>87</v>
      </c>
      <c r="G25" s="14">
        <v>82</v>
      </c>
      <c r="H25" s="14">
        <v>80</v>
      </c>
      <c r="I25" s="14">
        <v>85</v>
      </c>
      <c r="J25" s="14" t="s">
        <v>16</v>
      </c>
      <c r="K25" s="14">
        <v>6</v>
      </c>
      <c r="L25" s="14">
        <v>3</v>
      </c>
      <c r="M25" s="15">
        <f t="shared" si="0"/>
        <v>247</v>
      </c>
      <c r="N25" s="15">
        <f t="shared" si="1"/>
        <v>82.333333333333329</v>
      </c>
      <c r="O25" s="14" t="str">
        <f t="shared" si="2"/>
        <v>Excellent</v>
      </c>
      <c r="P25" s="15">
        <f t="shared" si="3"/>
        <v>20.583333333333332</v>
      </c>
      <c r="Q25" s="14" t="str">
        <f t="shared" si="4"/>
        <v>No</v>
      </c>
      <c r="R25" s="14" t="str">
        <f t="shared" si="5"/>
        <v>Normal Students</v>
      </c>
      <c r="S25" s="14" t="str">
        <f t="shared" si="6"/>
        <v>Balanced Student</v>
      </c>
      <c r="T25" s="14" t="str">
        <f t="shared" si="7"/>
        <v>High</v>
      </c>
      <c r="U25" s="21" t="str">
        <f t="shared" si="8"/>
        <v>A</v>
      </c>
    </row>
    <row r="26" spans="2:28">
      <c r="B26" s="20">
        <v>23</v>
      </c>
      <c r="C26" s="14" t="s">
        <v>37</v>
      </c>
      <c r="D26" s="14" t="s">
        <v>12</v>
      </c>
      <c r="E26" s="14">
        <v>1</v>
      </c>
      <c r="F26" s="14">
        <v>60</v>
      </c>
      <c r="G26" s="14">
        <v>50</v>
      </c>
      <c r="H26" s="14">
        <v>48</v>
      </c>
      <c r="I26" s="14">
        <v>55</v>
      </c>
      <c r="J26" s="14" t="s">
        <v>16</v>
      </c>
      <c r="K26" s="14">
        <v>8</v>
      </c>
      <c r="L26" s="14">
        <v>6</v>
      </c>
      <c r="M26" s="15">
        <f t="shared" si="0"/>
        <v>153</v>
      </c>
      <c r="N26" s="15">
        <f t="shared" si="1"/>
        <v>51</v>
      </c>
      <c r="O26" s="14" t="str">
        <f t="shared" si="2"/>
        <v>Needs Improvement</v>
      </c>
      <c r="P26" s="15">
        <f t="shared" si="3"/>
        <v>51</v>
      </c>
      <c r="Q26" s="14" t="str">
        <f t="shared" si="4"/>
        <v>Yes</v>
      </c>
      <c r="R26" s="14" t="str">
        <f t="shared" si="5"/>
        <v>Normal Students</v>
      </c>
      <c r="S26" s="14" t="str">
        <f t="shared" si="6"/>
        <v>Unbalanced Student</v>
      </c>
      <c r="T26" s="14" t="str">
        <f t="shared" si="7"/>
        <v>Medium</v>
      </c>
      <c r="U26" s="21" t="str">
        <f t="shared" si="8"/>
        <v>D</v>
      </c>
    </row>
    <row r="27" spans="2:28">
      <c r="B27" s="20">
        <v>24</v>
      </c>
      <c r="C27" s="14" t="s">
        <v>38</v>
      </c>
      <c r="D27" s="14" t="s">
        <v>15</v>
      </c>
      <c r="E27" s="14">
        <v>5</v>
      </c>
      <c r="F27" s="14">
        <v>92</v>
      </c>
      <c r="G27" s="14">
        <v>88</v>
      </c>
      <c r="H27" s="14">
        <v>90</v>
      </c>
      <c r="I27" s="14">
        <v>91</v>
      </c>
      <c r="J27" s="14" t="s">
        <v>13</v>
      </c>
      <c r="K27" s="14">
        <v>6</v>
      </c>
      <c r="L27" s="14">
        <v>2</v>
      </c>
      <c r="M27" s="15">
        <f t="shared" si="0"/>
        <v>269</v>
      </c>
      <c r="N27" s="15">
        <f t="shared" si="1"/>
        <v>89.666666666666671</v>
      </c>
      <c r="O27" s="14" t="str">
        <f t="shared" si="2"/>
        <v>Excellent</v>
      </c>
      <c r="P27" s="15">
        <f t="shared" si="3"/>
        <v>17.933333333333334</v>
      </c>
      <c r="Q27" s="14" t="str">
        <f t="shared" si="4"/>
        <v>No</v>
      </c>
      <c r="R27" s="14" t="str">
        <f t="shared" si="5"/>
        <v>Normal Students</v>
      </c>
      <c r="S27" s="14" t="str">
        <f t="shared" si="6"/>
        <v>Balanced Student</v>
      </c>
      <c r="T27" s="14" t="str">
        <f t="shared" si="7"/>
        <v>High</v>
      </c>
      <c r="U27" s="21" t="str">
        <f t="shared" si="8"/>
        <v>A</v>
      </c>
    </row>
    <row r="28" spans="2:28">
      <c r="B28" s="20">
        <v>25</v>
      </c>
      <c r="C28" s="14" t="s">
        <v>39</v>
      </c>
      <c r="D28" s="14" t="s">
        <v>12</v>
      </c>
      <c r="E28" s="14">
        <v>3</v>
      </c>
      <c r="F28" s="14">
        <v>78</v>
      </c>
      <c r="G28" s="14">
        <v>72</v>
      </c>
      <c r="H28" s="14">
        <v>70</v>
      </c>
      <c r="I28" s="14">
        <v>74</v>
      </c>
      <c r="J28" s="14" t="s">
        <v>13</v>
      </c>
      <c r="K28" s="14">
        <v>7</v>
      </c>
      <c r="L28" s="14">
        <v>4</v>
      </c>
      <c r="M28" s="15">
        <f t="shared" si="0"/>
        <v>216</v>
      </c>
      <c r="N28" s="15">
        <f t="shared" si="1"/>
        <v>72</v>
      </c>
      <c r="O28" s="14" t="str">
        <f t="shared" si="2"/>
        <v>Good</v>
      </c>
      <c r="P28" s="15">
        <f t="shared" si="3"/>
        <v>24</v>
      </c>
      <c r="Q28" s="14" t="str">
        <f t="shared" si="4"/>
        <v>No</v>
      </c>
      <c r="R28" s="14" t="str">
        <f t="shared" si="5"/>
        <v>Normal Students</v>
      </c>
      <c r="S28" s="14" t="str">
        <f t="shared" si="6"/>
        <v>Unbalanced Student</v>
      </c>
      <c r="T28" s="14" t="str">
        <f t="shared" si="7"/>
        <v>Medium</v>
      </c>
      <c r="U28" s="21" t="str">
        <f t="shared" si="8"/>
        <v>B</v>
      </c>
    </row>
    <row r="29" spans="2:28">
      <c r="B29" s="20">
        <v>26</v>
      </c>
      <c r="C29" s="14" t="s">
        <v>40</v>
      </c>
      <c r="D29" s="14" t="s">
        <v>15</v>
      </c>
      <c r="E29" s="14">
        <v>6</v>
      </c>
      <c r="F29" s="14">
        <v>95</v>
      </c>
      <c r="G29" s="14">
        <v>92</v>
      </c>
      <c r="H29" s="14">
        <v>93</v>
      </c>
      <c r="I29" s="14">
        <v>96</v>
      </c>
      <c r="J29" s="14" t="s">
        <v>16</v>
      </c>
      <c r="K29" s="14">
        <v>6</v>
      </c>
      <c r="L29" s="14">
        <v>2</v>
      </c>
      <c r="M29" s="15">
        <f t="shared" si="0"/>
        <v>281</v>
      </c>
      <c r="N29" s="15">
        <f t="shared" si="1"/>
        <v>93.666666666666671</v>
      </c>
      <c r="O29" s="14" t="str">
        <f t="shared" si="2"/>
        <v>Excellent</v>
      </c>
      <c r="P29" s="15">
        <f t="shared" si="3"/>
        <v>15.611111111111112</v>
      </c>
      <c r="Q29" s="14" t="str">
        <f t="shared" si="4"/>
        <v>No</v>
      </c>
      <c r="R29" s="14" t="str">
        <f t="shared" si="5"/>
        <v>Normal Students</v>
      </c>
      <c r="S29" s="14" t="str">
        <f t="shared" si="6"/>
        <v>Balanced Student</v>
      </c>
      <c r="T29" s="14" t="str">
        <f t="shared" si="7"/>
        <v>High</v>
      </c>
      <c r="U29" s="21" t="str">
        <f t="shared" si="8"/>
        <v>A</v>
      </c>
    </row>
    <row r="30" spans="2:28">
      <c r="B30" s="20">
        <v>27</v>
      </c>
      <c r="C30" s="14" t="s">
        <v>41</v>
      </c>
      <c r="D30" s="14" t="s">
        <v>12</v>
      </c>
      <c r="E30" s="14">
        <v>2</v>
      </c>
      <c r="F30" s="14">
        <v>50</v>
      </c>
      <c r="G30" s="14">
        <v>62</v>
      </c>
      <c r="H30" s="14">
        <v>60</v>
      </c>
      <c r="I30" s="14">
        <v>66</v>
      </c>
      <c r="J30" s="14" t="s">
        <v>13</v>
      </c>
      <c r="K30" s="14">
        <v>8</v>
      </c>
      <c r="L30" s="14">
        <v>5</v>
      </c>
      <c r="M30" s="15">
        <f t="shared" si="0"/>
        <v>188</v>
      </c>
      <c r="N30" s="15">
        <f t="shared" si="1"/>
        <v>62.666666666666664</v>
      </c>
      <c r="O30" s="14" t="str">
        <f t="shared" si="2"/>
        <v>Good</v>
      </c>
      <c r="P30" s="15">
        <f t="shared" si="3"/>
        <v>31.333333333333332</v>
      </c>
      <c r="Q30" s="14" t="str">
        <f t="shared" si="4"/>
        <v>No</v>
      </c>
      <c r="R30" s="14" t="str">
        <f t="shared" si="5"/>
        <v>Normal Students</v>
      </c>
      <c r="S30" s="14" t="str">
        <f t="shared" si="6"/>
        <v>Unbalanced Student</v>
      </c>
      <c r="T30" s="14" t="str">
        <f t="shared" si="7"/>
        <v>Low</v>
      </c>
      <c r="U30" s="21" t="str">
        <f t="shared" si="8"/>
        <v>C</v>
      </c>
    </row>
    <row r="31" spans="2:28">
      <c r="B31" s="20">
        <v>28</v>
      </c>
      <c r="C31" s="14" t="s">
        <v>42</v>
      </c>
      <c r="D31" s="14" t="s">
        <v>15</v>
      </c>
      <c r="E31" s="14">
        <v>4</v>
      </c>
      <c r="F31" s="14">
        <v>88</v>
      </c>
      <c r="G31" s="14">
        <v>84</v>
      </c>
      <c r="H31" s="14">
        <v>83</v>
      </c>
      <c r="I31" s="14">
        <v>87</v>
      </c>
      <c r="J31" s="14" t="s">
        <v>13</v>
      </c>
      <c r="K31" s="14">
        <v>7</v>
      </c>
      <c r="L31" s="14">
        <v>3</v>
      </c>
      <c r="M31" s="15">
        <f t="shared" si="0"/>
        <v>254</v>
      </c>
      <c r="N31" s="15">
        <f t="shared" si="1"/>
        <v>84.666666666666671</v>
      </c>
      <c r="O31" s="14" t="str">
        <f t="shared" si="2"/>
        <v>Excellent</v>
      </c>
      <c r="P31" s="15">
        <f t="shared" si="3"/>
        <v>21.166666666666668</v>
      </c>
      <c r="Q31" s="14" t="str">
        <f t="shared" si="4"/>
        <v>No</v>
      </c>
      <c r="R31" s="14" t="str">
        <f t="shared" si="5"/>
        <v>Normal Students</v>
      </c>
      <c r="S31" s="14" t="str">
        <f t="shared" si="6"/>
        <v>Balanced Student</v>
      </c>
      <c r="T31" s="14" t="str">
        <f t="shared" si="7"/>
        <v>High</v>
      </c>
      <c r="U31" s="21" t="str">
        <f t="shared" si="8"/>
        <v>A</v>
      </c>
    </row>
    <row r="32" spans="2:28">
      <c r="B32" s="20">
        <v>29</v>
      </c>
      <c r="C32" s="14" t="s">
        <v>43</v>
      </c>
      <c r="D32" s="14" t="s">
        <v>12</v>
      </c>
      <c r="E32" s="14">
        <v>3</v>
      </c>
      <c r="F32" s="14">
        <v>82</v>
      </c>
      <c r="G32" s="14">
        <v>76</v>
      </c>
      <c r="H32" s="14">
        <v>75</v>
      </c>
      <c r="I32" s="14">
        <v>80</v>
      </c>
      <c r="J32" s="14" t="s">
        <v>16</v>
      </c>
      <c r="K32" s="14">
        <v>7</v>
      </c>
      <c r="L32" s="14">
        <v>4</v>
      </c>
      <c r="M32" s="15">
        <f t="shared" si="0"/>
        <v>231</v>
      </c>
      <c r="N32" s="15">
        <f t="shared" si="1"/>
        <v>77</v>
      </c>
      <c r="O32" s="14" t="str">
        <f t="shared" si="2"/>
        <v>Good</v>
      </c>
      <c r="P32" s="15">
        <f t="shared" si="3"/>
        <v>25.666666666666668</v>
      </c>
      <c r="Q32" s="14" t="str">
        <f t="shared" si="4"/>
        <v>No</v>
      </c>
      <c r="R32" s="14" t="str">
        <f t="shared" si="5"/>
        <v>Normal Students</v>
      </c>
      <c r="S32" s="14" t="str">
        <f t="shared" si="6"/>
        <v>Unbalanced Student</v>
      </c>
      <c r="T32" s="14" t="str">
        <f t="shared" si="7"/>
        <v>High</v>
      </c>
      <c r="U32" s="21" t="str">
        <f t="shared" si="8"/>
        <v>B</v>
      </c>
    </row>
    <row r="33" spans="2:21">
      <c r="B33" s="20">
        <v>30</v>
      </c>
      <c r="C33" s="14" t="s">
        <v>44</v>
      </c>
      <c r="D33" s="14" t="s">
        <v>15</v>
      </c>
      <c r="E33" s="14">
        <v>5</v>
      </c>
      <c r="F33" s="14">
        <v>91</v>
      </c>
      <c r="G33" s="14">
        <v>87</v>
      </c>
      <c r="H33" s="14">
        <v>88</v>
      </c>
      <c r="I33" s="14">
        <v>90</v>
      </c>
      <c r="J33" s="14" t="s">
        <v>13</v>
      </c>
      <c r="K33" s="14">
        <v>6</v>
      </c>
      <c r="L33" s="14">
        <v>2</v>
      </c>
      <c r="M33" s="15">
        <f t="shared" si="0"/>
        <v>265</v>
      </c>
      <c r="N33" s="15">
        <f t="shared" si="1"/>
        <v>88.333333333333329</v>
      </c>
      <c r="O33" s="14" t="str">
        <f t="shared" si="2"/>
        <v>Excellent</v>
      </c>
      <c r="P33" s="15">
        <f t="shared" si="3"/>
        <v>17.666666666666664</v>
      </c>
      <c r="Q33" s="14" t="str">
        <f t="shared" si="4"/>
        <v>No</v>
      </c>
      <c r="R33" s="14" t="str">
        <f t="shared" si="5"/>
        <v>Normal Students</v>
      </c>
      <c r="S33" s="14" t="str">
        <f t="shared" si="6"/>
        <v>Balanced Student</v>
      </c>
      <c r="T33" s="14" t="str">
        <f t="shared" si="7"/>
        <v>High</v>
      </c>
      <c r="U33" s="21" t="str">
        <f t="shared" si="8"/>
        <v>A</v>
      </c>
    </row>
    <row r="34" spans="2:21">
      <c r="B34" s="20">
        <v>31</v>
      </c>
      <c r="C34" s="14" t="s">
        <v>45</v>
      </c>
      <c r="D34" s="14" t="s">
        <v>12</v>
      </c>
      <c r="E34" s="14">
        <v>2</v>
      </c>
      <c r="F34" s="14">
        <v>68</v>
      </c>
      <c r="G34" s="14">
        <v>60</v>
      </c>
      <c r="H34" s="14">
        <v>58</v>
      </c>
      <c r="I34" s="14">
        <v>63</v>
      </c>
      <c r="J34" s="14" t="s">
        <v>16</v>
      </c>
      <c r="K34" s="14">
        <v>8</v>
      </c>
      <c r="L34" s="14">
        <v>5</v>
      </c>
      <c r="M34" s="15">
        <f t="shared" si="0"/>
        <v>181</v>
      </c>
      <c r="N34" s="15">
        <f t="shared" si="1"/>
        <v>60.333333333333336</v>
      </c>
      <c r="O34" s="14" t="str">
        <f t="shared" si="2"/>
        <v>Good</v>
      </c>
      <c r="P34" s="15">
        <f t="shared" si="3"/>
        <v>30.166666666666668</v>
      </c>
      <c r="Q34" s="14" t="str">
        <f t="shared" si="4"/>
        <v>No</v>
      </c>
      <c r="R34" s="14" t="str">
        <f t="shared" si="5"/>
        <v>Normal Students</v>
      </c>
      <c r="S34" s="14" t="str">
        <f t="shared" si="6"/>
        <v>Unbalanced Student</v>
      </c>
      <c r="T34" s="14" t="str">
        <f t="shared" si="7"/>
        <v>Medium</v>
      </c>
      <c r="U34" s="21" t="str">
        <f t="shared" si="8"/>
        <v>C</v>
      </c>
    </row>
    <row r="35" spans="2:21">
      <c r="B35" s="20">
        <v>32</v>
      </c>
      <c r="C35" s="14" t="s">
        <v>46</v>
      </c>
      <c r="D35" s="14" t="s">
        <v>15</v>
      </c>
      <c r="E35" s="14">
        <v>4</v>
      </c>
      <c r="F35" s="14">
        <v>85</v>
      </c>
      <c r="G35" s="14">
        <v>80</v>
      </c>
      <c r="H35" s="14">
        <v>82</v>
      </c>
      <c r="I35" s="14">
        <v>84</v>
      </c>
      <c r="J35" s="14" t="s">
        <v>13</v>
      </c>
      <c r="K35" s="14">
        <v>7</v>
      </c>
      <c r="L35" s="14">
        <v>3</v>
      </c>
      <c r="M35" s="15">
        <f t="shared" si="0"/>
        <v>246</v>
      </c>
      <c r="N35" s="15">
        <f t="shared" si="1"/>
        <v>82</v>
      </c>
      <c r="O35" s="14" t="str">
        <f t="shared" si="2"/>
        <v>Excellent</v>
      </c>
      <c r="P35" s="15">
        <f t="shared" si="3"/>
        <v>20.5</v>
      </c>
      <c r="Q35" s="14" t="str">
        <f t="shared" si="4"/>
        <v>No</v>
      </c>
      <c r="R35" s="14" t="str">
        <f t="shared" si="5"/>
        <v>Normal Students</v>
      </c>
      <c r="S35" s="14" t="str">
        <f t="shared" si="6"/>
        <v>Balanced Student</v>
      </c>
      <c r="T35" s="14" t="str">
        <f t="shared" si="7"/>
        <v>High</v>
      </c>
      <c r="U35" s="21" t="str">
        <f t="shared" si="8"/>
        <v>A</v>
      </c>
    </row>
    <row r="36" spans="2:21">
      <c r="B36" s="20">
        <v>33</v>
      </c>
      <c r="C36" s="14" t="s">
        <v>47</v>
      </c>
      <c r="D36" s="14" t="s">
        <v>12</v>
      </c>
      <c r="E36" s="14">
        <v>6</v>
      </c>
      <c r="F36" s="14">
        <v>94</v>
      </c>
      <c r="G36" s="14">
        <v>91</v>
      </c>
      <c r="H36" s="14">
        <v>90</v>
      </c>
      <c r="I36" s="14">
        <v>92</v>
      </c>
      <c r="J36" s="14" t="s">
        <v>16</v>
      </c>
      <c r="K36" s="14">
        <v>6</v>
      </c>
      <c r="L36" s="14">
        <v>2</v>
      </c>
      <c r="M36" s="15">
        <f t="shared" si="0"/>
        <v>273</v>
      </c>
      <c r="N36" s="15">
        <f t="shared" si="1"/>
        <v>91</v>
      </c>
      <c r="O36" s="14" t="str">
        <f t="shared" si="2"/>
        <v>Excellent</v>
      </c>
      <c r="P36" s="15">
        <f t="shared" si="3"/>
        <v>15.166666666666666</v>
      </c>
      <c r="Q36" s="14" t="str">
        <f t="shared" si="4"/>
        <v>No</v>
      </c>
      <c r="R36" s="14" t="str">
        <f t="shared" si="5"/>
        <v>Normal Students</v>
      </c>
      <c r="S36" s="14" t="str">
        <f t="shared" si="6"/>
        <v>Balanced Student</v>
      </c>
      <c r="T36" s="14" t="str">
        <f t="shared" si="7"/>
        <v>High</v>
      </c>
      <c r="U36" s="21" t="str">
        <f t="shared" si="8"/>
        <v>A</v>
      </c>
    </row>
    <row r="37" spans="2:21">
      <c r="B37" s="20">
        <v>34</v>
      </c>
      <c r="C37" s="14" t="s">
        <v>48</v>
      </c>
      <c r="D37" s="14" t="s">
        <v>15</v>
      </c>
      <c r="E37" s="14">
        <v>3</v>
      </c>
      <c r="F37" s="14">
        <v>79</v>
      </c>
      <c r="G37" s="14">
        <v>74</v>
      </c>
      <c r="H37" s="14">
        <v>72</v>
      </c>
      <c r="I37" s="14">
        <v>76</v>
      </c>
      <c r="J37" s="14" t="s">
        <v>13</v>
      </c>
      <c r="K37" s="14">
        <v>7</v>
      </c>
      <c r="L37" s="14">
        <v>4</v>
      </c>
      <c r="M37" s="15">
        <f t="shared" si="0"/>
        <v>222</v>
      </c>
      <c r="N37" s="15">
        <f t="shared" si="1"/>
        <v>74</v>
      </c>
      <c r="O37" s="14" t="str">
        <f t="shared" si="2"/>
        <v>Good</v>
      </c>
      <c r="P37" s="15">
        <f t="shared" si="3"/>
        <v>24.666666666666668</v>
      </c>
      <c r="Q37" s="14" t="str">
        <f t="shared" si="4"/>
        <v>No</v>
      </c>
      <c r="R37" s="14" t="str">
        <f t="shared" si="5"/>
        <v>Normal Students</v>
      </c>
      <c r="S37" s="14" t="str">
        <f t="shared" si="6"/>
        <v>Unbalanced Student</v>
      </c>
      <c r="T37" s="14" t="str">
        <f t="shared" si="7"/>
        <v>Medium</v>
      </c>
      <c r="U37" s="21" t="str">
        <f t="shared" si="8"/>
        <v>B</v>
      </c>
    </row>
    <row r="38" spans="2:21">
      <c r="B38" s="20">
        <v>35</v>
      </c>
      <c r="C38" s="14" t="s">
        <v>49</v>
      </c>
      <c r="D38" s="14" t="s">
        <v>12</v>
      </c>
      <c r="E38" s="14">
        <v>2</v>
      </c>
      <c r="F38" s="14">
        <v>72</v>
      </c>
      <c r="G38" s="14">
        <v>65</v>
      </c>
      <c r="H38" s="14">
        <v>64</v>
      </c>
      <c r="I38" s="14">
        <v>68</v>
      </c>
      <c r="J38" s="14" t="s">
        <v>16</v>
      </c>
      <c r="K38" s="14">
        <v>8</v>
      </c>
      <c r="L38" s="14">
        <v>5</v>
      </c>
      <c r="M38" s="15">
        <f t="shared" si="0"/>
        <v>197</v>
      </c>
      <c r="N38" s="15">
        <f t="shared" si="1"/>
        <v>65.666666666666671</v>
      </c>
      <c r="O38" s="14" t="str">
        <f t="shared" si="2"/>
        <v>Good</v>
      </c>
      <c r="P38" s="15">
        <f t="shared" si="3"/>
        <v>32.833333333333336</v>
      </c>
      <c r="Q38" s="14" t="str">
        <f t="shared" si="4"/>
        <v>No</v>
      </c>
      <c r="R38" s="14" t="str">
        <f t="shared" si="5"/>
        <v>Normal Students</v>
      </c>
      <c r="S38" s="14" t="str">
        <f t="shared" si="6"/>
        <v>Unbalanced Student</v>
      </c>
      <c r="T38" s="14" t="str">
        <f t="shared" si="7"/>
        <v>Medium</v>
      </c>
      <c r="U38" s="21" t="str">
        <f t="shared" si="8"/>
        <v>C</v>
      </c>
    </row>
    <row r="39" spans="2:21">
      <c r="B39" s="20">
        <v>36</v>
      </c>
      <c r="C39" s="14" t="s">
        <v>50</v>
      </c>
      <c r="D39" s="14" t="s">
        <v>15</v>
      </c>
      <c r="E39" s="14">
        <v>5</v>
      </c>
      <c r="F39" s="14">
        <v>90</v>
      </c>
      <c r="G39" s="14">
        <v>86</v>
      </c>
      <c r="H39" s="14">
        <v>88</v>
      </c>
      <c r="I39" s="14">
        <v>89</v>
      </c>
      <c r="J39" s="14" t="s">
        <v>13</v>
      </c>
      <c r="K39" s="14">
        <v>6</v>
      </c>
      <c r="L39" s="14">
        <v>2</v>
      </c>
      <c r="M39" s="15">
        <f t="shared" si="0"/>
        <v>263</v>
      </c>
      <c r="N39" s="15">
        <f t="shared" si="1"/>
        <v>87.666666666666671</v>
      </c>
      <c r="O39" s="14" t="str">
        <f t="shared" si="2"/>
        <v>Excellent</v>
      </c>
      <c r="P39" s="15">
        <f t="shared" si="3"/>
        <v>17.533333333333335</v>
      </c>
      <c r="Q39" s="14" t="str">
        <f t="shared" si="4"/>
        <v>No</v>
      </c>
      <c r="R39" s="14" t="str">
        <f t="shared" si="5"/>
        <v>Normal Students</v>
      </c>
      <c r="S39" s="14" t="str">
        <f t="shared" si="6"/>
        <v>Balanced Student</v>
      </c>
      <c r="T39" s="14" t="str">
        <f t="shared" si="7"/>
        <v>High</v>
      </c>
      <c r="U39" s="21" t="str">
        <f t="shared" si="8"/>
        <v>A</v>
      </c>
    </row>
    <row r="40" spans="2:21">
      <c r="B40" s="20">
        <v>37</v>
      </c>
      <c r="C40" s="14" t="s">
        <v>51</v>
      </c>
      <c r="D40" s="14" t="s">
        <v>12</v>
      </c>
      <c r="E40" s="14">
        <v>3</v>
      </c>
      <c r="F40" s="14">
        <v>80</v>
      </c>
      <c r="G40" s="14">
        <v>75</v>
      </c>
      <c r="H40" s="14">
        <v>73</v>
      </c>
      <c r="I40" s="14">
        <v>78</v>
      </c>
      <c r="J40" s="14" t="s">
        <v>13</v>
      </c>
      <c r="K40" s="14">
        <v>7</v>
      </c>
      <c r="L40" s="14">
        <v>4</v>
      </c>
      <c r="M40" s="15">
        <f t="shared" si="0"/>
        <v>226</v>
      </c>
      <c r="N40" s="15">
        <f t="shared" si="1"/>
        <v>75.333333333333329</v>
      </c>
      <c r="O40" s="14" t="str">
        <f t="shared" si="2"/>
        <v>Good</v>
      </c>
      <c r="P40" s="15">
        <f t="shared" si="3"/>
        <v>25.111111111111111</v>
      </c>
      <c r="Q40" s="14" t="str">
        <f t="shared" si="4"/>
        <v>No</v>
      </c>
      <c r="R40" s="14" t="str">
        <f t="shared" si="5"/>
        <v>Normal Students</v>
      </c>
      <c r="S40" s="14" t="str">
        <f t="shared" si="6"/>
        <v>Unbalanced Student</v>
      </c>
      <c r="T40" s="14" t="str">
        <f t="shared" si="7"/>
        <v>High</v>
      </c>
      <c r="U40" s="21" t="str">
        <f t="shared" si="8"/>
        <v>B</v>
      </c>
    </row>
    <row r="41" spans="2:21">
      <c r="B41" s="20">
        <v>38</v>
      </c>
      <c r="C41" s="14" t="s">
        <v>52</v>
      </c>
      <c r="D41" s="14" t="s">
        <v>15</v>
      </c>
      <c r="E41" s="14">
        <v>4</v>
      </c>
      <c r="F41" s="14">
        <v>87</v>
      </c>
      <c r="G41" s="14">
        <v>83</v>
      </c>
      <c r="H41" s="14">
        <v>81</v>
      </c>
      <c r="I41" s="14">
        <v>85</v>
      </c>
      <c r="J41" s="14" t="s">
        <v>16</v>
      </c>
      <c r="K41" s="14">
        <v>6</v>
      </c>
      <c r="L41" s="14">
        <v>3</v>
      </c>
      <c r="M41" s="15">
        <f t="shared" si="0"/>
        <v>249</v>
      </c>
      <c r="N41" s="15">
        <f t="shared" si="1"/>
        <v>83</v>
      </c>
      <c r="O41" s="14" t="str">
        <f t="shared" si="2"/>
        <v>Excellent</v>
      </c>
      <c r="P41" s="15">
        <f t="shared" si="3"/>
        <v>20.75</v>
      </c>
      <c r="Q41" s="14" t="str">
        <f t="shared" si="4"/>
        <v>No</v>
      </c>
      <c r="R41" s="14" t="str">
        <f t="shared" si="5"/>
        <v>Normal Students</v>
      </c>
      <c r="S41" s="14" t="str">
        <f t="shared" si="6"/>
        <v>Balanced Student</v>
      </c>
      <c r="T41" s="14" t="str">
        <f t="shared" si="7"/>
        <v>High</v>
      </c>
      <c r="U41" s="21" t="str">
        <f t="shared" si="8"/>
        <v>A</v>
      </c>
    </row>
    <row r="42" spans="2:21">
      <c r="B42" s="20">
        <v>39</v>
      </c>
      <c r="C42" s="14" t="s">
        <v>53</v>
      </c>
      <c r="D42" s="14" t="s">
        <v>12</v>
      </c>
      <c r="E42" s="14">
        <v>1</v>
      </c>
      <c r="F42" s="14">
        <v>62</v>
      </c>
      <c r="G42" s="14">
        <v>52</v>
      </c>
      <c r="H42" s="14">
        <v>50</v>
      </c>
      <c r="I42" s="14">
        <v>57</v>
      </c>
      <c r="J42" s="14" t="s">
        <v>16</v>
      </c>
      <c r="K42" s="14">
        <v>8</v>
      </c>
      <c r="L42" s="14">
        <v>6</v>
      </c>
      <c r="M42" s="15">
        <f t="shared" si="0"/>
        <v>159</v>
      </c>
      <c r="N42" s="15">
        <f t="shared" si="1"/>
        <v>53</v>
      </c>
      <c r="O42" s="14" t="str">
        <f t="shared" si="2"/>
        <v>Needs Improvement</v>
      </c>
      <c r="P42" s="15">
        <f t="shared" si="3"/>
        <v>53</v>
      </c>
      <c r="Q42" s="14" t="str">
        <f t="shared" si="4"/>
        <v>Yes</v>
      </c>
      <c r="R42" s="14" t="str">
        <f t="shared" si="5"/>
        <v>Normal Students</v>
      </c>
      <c r="S42" s="14" t="str">
        <f t="shared" si="6"/>
        <v>Unbalanced Student</v>
      </c>
      <c r="T42" s="14" t="str">
        <f t="shared" si="7"/>
        <v>Medium</v>
      </c>
      <c r="U42" s="21" t="str">
        <f t="shared" si="8"/>
        <v>D</v>
      </c>
    </row>
    <row r="43" spans="2:21">
      <c r="B43" s="20">
        <v>40</v>
      </c>
      <c r="C43" s="14" t="s">
        <v>54</v>
      </c>
      <c r="D43" s="14" t="s">
        <v>15</v>
      </c>
      <c r="E43" s="14">
        <v>5</v>
      </c>
      <c r="F43" s="14">
        <v>92</v>
      </c>
      <c r="G43" s="14">
        <v>89</v>
      </c>
      <c r="H43" s="14">
        <v>90</v>
      </c>
      <c r="I43" s="14">
        <v>93</v>
      </c>
      <c r="J43" s="14" t="s">
        <v>13</v>
      </c>
      <c r="K43" s="14">
        <v>6</v>
      </c>
      <c r="L43" s="14">
        <v>2</v>
      </c>
      <c r="M43" s="15">
        <f t="shared" si="0"/>
        <v>272</v>
      </c>
      <c r="N43" s="15">
        <f t="shared" si="1"/>
        <v>90.666666666666671</v>
      </c>
      <c r="O43" s="14" t="str">
        <f t="shared" si="2"/>
        <v>Excellent</v>
      </c>
      <c r="P43" s="15">
        <f t="shared" si="3"/>
        <v>18.133333333333333</v>
      </c>
      <c r="Q43" s="14" t="str">
        <f t="shared" si="4"/>
        <v>No</v>
      </c>
      <c r="R43" s="14" t="str">
        <f t="shared" si="5"/>
        <v>Normal Students</v>
      </c>
      <c r="S43" s="14" t="str">
        <f t="shared" si="6"/>
        <v>Balanced Student</v>
      </c>
      <c r="T43" s="14" t="str">
        <f t="shared" si="7"/>
        <v>High</v>
      </c>
      <c r="U43" s="21" t="str">
        <f t="shared" si="8"/>
        <v>A</v>
      </c>
    </row>
    <row r="44" spans="2:21">
      <c r="B44" s="20">
        <v>41</v>
      </c>
      <c r="C44" s="14" t="s">
        <v>55</v>
      </c>
      <c r="D44" s="14" t="s">
        <v>12</v>
      </c>
      <c r="E44" s="14">
        <v>3</v>
      </c>
      <c r="F44" s="14">
        <v>78</v>
      </c>
      <c r="G44" s="14">
        <v>72</v>
      </c>
      <c r="H44" s="14">
        <v>70</v>
      </c>
      <c r="I44" s="14">
        <v>75</v>
      </c>
      <c r="J44" s="14" t="s">
        <v>13</v>
      </c>
      <c r="K44" s="14">
        <v>7</v>
      </c>
      <c r="L44" s="14">
        <v>4</v>
      </c>
      <c r="M44" s="15">
        <f t="shared" si="0"/>
        <v>217</v>
      </c>
      <c r="N44" s="15">
        <f t="shared" si="1"/>
        <v>72.333333333333329</v>
      </c>
      <c r="O44" s="14" t="str">
        <f t="shared" si="2"/>
        <v>Good</v>
      </c>
      <c r="P44" s="15">
        <f t="shared" si="3"/>
        <v>24.111111111111111</v>
      </c>
      <c r="Q44" s="14" t="str">
        <f t="shared" si="4"/>
        <v>No</v>
      </c>
      <c r="R44" s="14" t="str">
        <f t="shared" si="5"/>
        <v>Normal Students</v>
      </c>
      <c r="S44" s="14" t="str">
        <f t="shared" si="6"/>
        <v>Unbalanced Student</v>
      </c>
      <c r="T44" s="14" t="str">
        <f t="shared" si="7"/>
        <v>Medium</v>
      </c>
      <c r="U44" s="21" t="str">
        <f t="shared" si="8"/>
        <v>B</v>
      </c>
    </row>
    <row r="45" spans="2:21">
      <c r="B45" s="20">
        <v>42</v>
      </c>
      <c r="C45" s="14" t="s">
        <v>56</v>
      </c>
      <c r="D45" s="14" t="s">
        <v>15</v>
      </c>
      <c r="E45" s="14">
        <v>6</v>
      </c>
      <c r="F45" s="14">
        <v>96</v>
      </c>
      <c r="G45" s="14">
        <v>93</v>
      </c>
      <c r="H45" s="14">
        <v>94</v>
      </c>
      <c r="I45" s="14">
        <v>97</v>
      </c>
      <c r="J45" s="14" t="s">
        <v>16</v>
      </c>
      <c r="K45" s="14">
        <v>6</v>
      </c>
      <c r="L45" s="14">
        <v>2</v>
      </c>
      <c r="M45" s="15">
        <f t="shared" si="0"/>
        <v>284</v>
      </c>
      <c r="N45" s="15">
        <f t="shared" si="1"/>
        <v>94.666666666666671</v>
      </c>
      <c r="O45" s="14" t="str">
        <f t="shared" si="2"/>
        <v>Excellent</v>
      </c>
      <c r="P45" s="15">
        <f t="shared" si="3"/>
        <v>15.777777777777779</v>
      </c>
      <c r="Q45" s="14" t="str">
        <f t="shared" si="4"/>
        <v>No</v>
      </c>
      <c r="R45" s="14" t="str">
        <f t="shared" si="5"/>
        <v>Normal Students</v>
      </c>
      <c r="S45" s="14" t="str">
        <f t="shared" si="6"/>
        <v>Balanced Student</v>
      </c>
      <c r="T45" s="14" t="str">
        <f t="shared" si="7"/>
        <v>High</v>
      </c>
      <c r="U45" s="21" t="str">
        <f t="shared" si="8"/>
        <v>A</v>
      </c>
    </row>
    <row r="46" spans="2:21">
      <c r="B46" s="20">
        <v>43</v>
      </c>
      <c r="C46" s="14" t="s">
        <v>57</v>
      </c>
      <c r="D46" s="14" t="s">
        <v>12</v>
      </c>
      <c r="E46" s="14">
        <v>2</v>
      </c>
      <c r="F46" s="14">
        <v>70</v>
      </c>
      <c r="G46" s="14">
        <v>63</v>
      </c>
      <c r="H46" s="14">
        <v>60</v>
      </c>
      <c r="I46" s="14">
        <v>66</v>
      </c>
      <c r="J46" s="14" t="s">
        <v>13</v>
      </c>
      <c r="K46" s="14">
        <v>8</v>
      </c>
      <c r="L46" s="14">
        <v>5</v>
      </c>
      <c r="M46" s="15">
        <f t="shared" si="0"/>
        <v>189</v>
      </c>
      <c r="N46" s="15">
        <f t="shared" si="1"/>
        <v>63</v>
      </c>
      <c r="O46" s="14" t="str">
        <f t="shared" si="2"/>
        <v>Good</v>
      </c>
      <c r="P46" s="15">
        <f t="shared" si="3"/>
        <v>31.5</v>
      </c>
      <c r="Q46" s="14" t="str">
        <f t="shared" si="4"/>
        <v>No</v>
      </c>
      <c r="R46" s="14" t="str">
        <f t="shared" si="5"/>
        <v>Normal Students</v>
      </c>
      <c r="S46" s="14" t="str">
        <f t="shared" si="6"/>
        <v>Unbalanced Student</v>
      </c>
      <c r="T46" s="14" t="str">
        <f t="shared" si="7"/>
        <v>Medium</v>
      </c>
      <c r="U46" s="21" t="str">
        <f t="shared" si="8"/>
        <v>C</v>
      </c>
    </row>
    <row r="47" spans="2:21">
      <c r="B47" s="20">
        <v>44</v>
      </c>
      <c r="C47" s="14" t="s">
        <v>58</v>
      </c>
      <c r="D47" s="14" t="s">
        <v>15</v>
      </c>
      <c r="E47" s="14">
        <v>4</v>
      </c>
      <c r="F47" s="14">
        <v>88</v>
      </c>
      <c r="G47" s="14">
        <v>84</v>
      </c>
      <c r="H47" s="14">
        <v>83</v>
      </c>
      <c r="I47" s="14">
        <v>86</v>
      </c>
      <c r="J47" s="14" t="s">
        <v>13</v>
      </c>
      <c r="K47" s="14">
        <v>7</v>
      </c>
      <c r="L47" s="14">
        <v>3</v>
      </c>
      <c r="M47" s="15">
        <f t="shared" si="0"/>
        <v>253</v>
      </c>
      <c r="N47" s="15">
        <f t="shared" si="1"/>
        <v>84.333333333333329</v>
      </c>
      <c r="O47" s="14" t="str">
        <f t="shared" si="2"/>
        <v>Excellent</v>
      </c>
      <c r="P47" s="15">
        <f t="shared" si="3"/>
        <v>21.083333333333332</v>
      </c>
      <c r="Q47" s="14" t="str">
        <f t="shared" si="4"/>
        <v>No</v>
      </c>
      <c r="R47" s="14" t="str">
        <f t="shared" si="5"/>
        <v>Normal Students</v>
      </c>
      <c r="S47" s="14" t="str">
        <f t="shared" si="6"/>
        <v>Balanced Student</v>
      </c>
      <c r="T47" s="14" t="str">
        <f t="shared" si="7"/>
        <v>High</v>
      </c>
      <c r="U47" s="21" t="str">
        <f t="shared" si="8"/>
        <v>A</v>
      </c>
    </row>
    <row r="48" spans="2:21">
      <c r="B48" s="20">
        <v>45</v>
      </c>
      <c r="C48" s="14" t="s">
        <v>59</v>
      </c>
      <c r="D48" s="14" t="s">
        <v>12</v>
      </c>
      <c r="E48" s="14">
        <v>3</v>
      </c>
      <c r="F48" s="14">
        <v>82</v>
      </c>
      <c r="G48" s="14">
        <v>76</v>
      </c>
      <c r="H48" s="14">
        <v>75</v>
      </c>
      <c r="I48" s="14">
        <v>79</v>
      </c>
      <c r="J48" s="14" t="s">
        <v>16</v>
      </c>
      <c r="K48" s="14">
        <v>7</v>
      </c>
      <c r="L48" s="14">
        <v>4</v>
      </c>
      <c r="M48" s="15">
        <f t="shared" si="0"/>
        <v>230</v>
      </c>
      <c r="N48" s="15">
        <f t="shared" si="1"/>
        <v>76.666666666666671</v>
      </c>
      <c r="O48" s="14" t="str">
        <f t="shared" si="2"/>
        <v>Good</v>
      </c>
      <c r="P48" s="15">
        <f t="shared" si="3"/>
        <v>25.555555555555557</v>
      </c>
      <c r="Q48" s="14" t="str">
        <f t="shared" si="4"/>
        <v>No</v>
      </c>
      <c r="R48" s="14" t="str">
        <f t="shared" si="5"/>
        <v>Normal Students</v>
      </c>
      <c r="S48" s="14" t="str">
        <f t="shared" si="6"/>
        <v>Unbalanced Student</v>
      </c>
      <c r="T48" s="14" t="str">
        <f t="shared" si="7"/>
        <v>High</v>
      </c>
      <c r="U48" s="21" t="str">
        <f t="shared" si="8"/>
        <v>B</v>
      </c>
    </row>
    <row r="49" spans="2:21">
      <c r="B49" s="20">
        <v>46</v>
      </c>
      <c r="C49" s="14" t="s">
        <v>60</v>
      </c>
      <c r="D49" s="14" t="s">
        <v>15</v>
      </c>
      <c r="E49" s="14">
        <v>5</v>
      </c>
      <c r="F49" s="14">
        <v>91</v>
      </c>
      <c r="G49" s="14">
        <v>87</v>
      </c>
      <c r="H49" s="14">
        <v>89</v>
      </c>
      <c r="I49" s="14">
        <v>90</v>
      </c>
      <c r="J49" s="14" t="s">
        <v>13</v>
      </c>
      <c r="K49" s="14">
        <v>6</v>
      </c>
      <c r="L49" s="14">
        <v>2</v>
      </c>
      <c r="M49" s="15">
        <f t="shared" si="0"/>
        <v>266</v>
      </c>
      <c r="N49" s="15">
        <f t="shared" si="1"/>
        <v>88.666666666666671</v>
      </c>
      <c r="O49" s="14" t="str">
        <f t="shared" si="2"/>
        <v>Excellent</v>
      </c>
      <c r="P49" s="15">
        <f t="shared" si="3"/>
        <v>17.733333333333334</v>
      </c>
      <c r="Q49" s="14" t="str">
        <f t="shared" si="4"/>
        <v>No</v>
      </c>
      <c r="R49" s="14" t="str">
        <f t="shared" si="5"/>
        <v>Normal Students</v>
      </c>
      <c r="S49" s="14" t="str">
        <f t="shared" si="6"/>
        <v>Balanced Student</v>
      </c>
      <c r="T49" s="14" t="str">
        <f t="shared" si="7"/>
        <v>High</v>
      </c>
      <c r="U49" s="21" t="str">
        <f t="shared" si="8"/>
        <v>A</v>
      </c>
    </row>
    <row r="50" spans="2:21">
      <c r="B50" s="20">
        <v>47</v>
      </c>
      <c r="C50" s="14" t="s">
        <v>61</v>
      </c>
      <c r="D50" s="14" t="s">
        <v>12</v>
      </c>
      <c r="E50" s="14">
        <v>2</v>
      </c>
      <c r="F50" s="14">
        <v>68</v>
      </c>
      <c r="G50" s="14">
        <v>60</v>
      </c>
      <c r="H50" s="14">
        <v>58</v>
      </c>
      <c r="I50" s="14">
        <v>64</v>
      </c>
      <c r="J50" s="14" t="s">
        <v>16</v>
      </c>
      <c r="K50" s="14">
        <v>8</v>
      </c>
      <c r="L50" s="14">
        <v>5</v>
      </c>
      <c r="M50" s="15">
        <f t="shared" si="0"/>
        <v>182</v>
      </c>
      <c r="N50" s="15">
        <f t="shared" si="1"/>
        <v>60.666666666666664</v>
      </c>
      <c r="O50" s="14" t="str">
        <f t="shared" si="2"/>
        <v>Good</v>
      </c>
      <c r="P50" s="15">
        <f t="shared" si="3"/>
        <v>30.333333333333332</v>
      </c>
      <c r="Q50" s="14" t="str">
        <f t="shared" si="4"/>
        <v>No</v>
      </c>
      <c r="R50" s="14" t="str">
        <f t="shared" si="5"/>
        <v>Normal Students</v>
      </c>
      <c r="S50" s="14" t="str">
        <f t="shared" si="6"/>
        <v>Unbalanced Student</v>
      </c>
      <c r="T50" s="14" t="str">
        <f t="shared" si="7"/>
        <v>Medium</v>
      </c>
      <c r="U50" s="21" t="str">
        <f t="shared" si="8"/>
        <v>C</v>
      </c>
    </row>
    <row r="51" spans="2:21">
      <c r="B51" s="20">
        <v>48</v>
      </c>
      <c r="C51" s="14" t="s">
        <v>62</v>
      </c>
      <c r="D51" s="14" t="s">
        <v>15</v>
      </c>
      <c r="E51" s="14">
        <v>4</v>
      </c>
      <c r="F51" s="14">
        <v>85</v>
      </c>
      <c r="G51" s="14">
        <v>81</v>
      </c>
      <c r="H51" s="14">
        <v>82</v>
      </c>
      <c r="I51" s="14">
        <v>84</v>
      </c>
      <c r="J51" s="14" t="s">
        <v>13</v>
      </c>
      <c r="K51" s="14">
        <v>7</v>
      </c>
      <c r="L51" s="14">
        <v>3</v>
      </c>
      <c r="M51" s="15">
        <f t="shared" si="0"/>
        <v>247</v>
      </c>
      <c r="N51" s="15">
        <f t="shared" si="1"/>
        <v>82.333333333333329</v>
      </c>
      <c r="O51" s="14" t="str">
        <f t="shared" si="2"/>
        <v>Excellent</v>
      </c>
      <c r="P51" s="15">
        <f t="shared" si="3"/>
        <v>20.583333333333332</v>
      </c>
      <c r="Q51" s="14" t="str">
        <f t="shared" si="4"/>
        <v>No</v>
      </c>
      <c r="R51" s="14" t="str">
        <f t="shared" si="5"/>
        <v>Normal Students</v>
      </c>
      <c r="S51" s="14" t="str">
        <f t="shared" si="6"/>
        <v>Balanced Student</v>
      </c>
      <c r="T51" s="14" t="str">
        <f t="shared" si="7"/>
        <v>High</v>
      </c>
      <c r="U51" s="21" t="str">
        <f t="shared" si="8"/>
        <v>A</v>
      </c>
    </row>
    <row r="52" spans="2:21">
      <c r="B52" s="20">
        <v>49</v>
      </c>
      <c r="C52" s="14" t="s">
        <v>63</v>
      </c>
      <c r="D52" s="14" t="s">
        <v>12</v>
      </c>
      <c r="E52" s="14">
        <v>6</v>
      </c>
      <c r="F52" s="14">
        <v>94</v>
      </c>
      <c r="G52" s="14">
        <v>92</v>
      </c>
      <c r="H52" s="14">
        <v>91</v>
      </c>
      <c r="I52" s="14">
        <v>95</v>
      </c>
      <c r="J52" s="14" t="s">
        <v>16</v>
      </c>
      <c r="K52" s="14">
        <v>6</v>
      </c>
      <c r="L52" s="14">
        <v>2</v>
      </c>
      <c r="M52" s="15">
        <f t="shared" si="0"/>
        <v>278</v>
      </c>
      <c r="N52" s="15">
        <f t="shared" si="1"/>
        <v>92.666666666666671</v>
      </c>
      <c r="O52" s="14" t="str">
        <f t="shared" si="2"/>
        <v>Excellent</v>
      </c>
      <c r="P52" s="15">
        <f t="shared" si="3"/>
        <v>15.444444444444445</v>
      </c>
      <c r="Q52" s="14" t="str">
        <f t="shared" si="4"/>
        <v>No</v>
      </c>
      <c r="R52" s="14" t="str">
        <f t="shared" si="5"/>
        <v>Normal Students</v>
      </c>
      <c r="S52" s="14" t="str">
        <f t="shared" si="6"/>
        <v>Balanced Student</v>
      </c>
      <c r="T52" s="14" t="str">
        <f t="shared" si="7"/>
        <v>High</v>
      </c>
      <c r="U52" s="21" t="str">
        <f t="shared" si="8"/>
        <v>A</v>
      </c>
    </row>
    <row r="53" spans="2:21">
      <c r="B53" s="20">
        <v>50</v>
      </c>
      <c r="C53" s="14" t="s">
        <v>64</v>
      </c>
      <c r="D53" s="14" t="s">
        <v>15</v>
      </c>
      <c r="E53" s="14">
        <v>3</v>
      </c>
      <c r="F53" s="14">
        <v>79</v>
      </c>
      <c r="G53" s="14">
        <v>74</v>
      </c>
      <c r="H53" s="14">
        <v>72</v>
      </c>
      <c r="I53" s="14">
        <v>77</v>
      </c>
      <c r="J53" s="14" t="s">
        <v>13</v>
      </c>
      <c r="K53" s="14">
        <v>7</v>
      </c>
      <c r="L53" s="14">
        <v>4</v>
      </c>
      <c r="M53" s="15">
        <f t="shared" si="0"/>
        <v>223</v>
      </c>
      <c r="N53" s="15">
        <f t="shared" si="1"/>
        <v>74.333333333333329</v>
      </c>
      <c r="O53" s="14" t="str">
        <f t="shared" si="2"/>
        <v>Good</v>
      </c>
      <c r="P53" s="15">
        <f t="shared" si="3"/>
        <v>24.777777777777775</v>
      </c>
      <c r="Q53" s="14" t="str">
        <f t="shared" si="4"/>
        <v>No</v>
      </c>
      <c r="R53" s="14" t="str">
        <f t="shared" si="5"/>
        <v>Normal Students</v>
      </c>
      <c r="S53" s="14" t="str">
        <f t="shared" si="6"/>
        <v>Unbalanced Student</v>
      </c>
      <c r="T53" s="14" t="str">
        <f t="shared" si="7"/>
        <v>Medium</v>
      </c>
      <c r="U53" s="21" t="str">
        <f t="shared" si="8"/>
        <v>B</v>
      </c>
    </row>
    <row r="54" spans="2:21">
      <c r="B54" s="20">
        <v>51</v>
      </c>
      <c r="C54" s="14" t="s">
        <v>65</v>
      </c>
      <c r="D54" s="14" t="s">
        <v>66</v>
      </c>
      <c r="E54" s="14">
        <v>3</v>
      </c>
      <c r="F54" s="14">
        <v>85</v>
      </c>
      <c r="G54" s="14">
        <v>78</v>
      </c>
      <c r="H54" s="14">
        <v>72</v>
      </c>
      <c r="I54" s="14">
        <v>80</v>
      </c>
      <c r="J54" s="14" t="s">
        <v>67</v>
      </c>
      <c r="K54" s="14">
        <v>7</v>
      </c>
      <c r="L54" s="14">
        <v>3</v>
      </c>
      <c r="M54" s="15">
        <f t="shared" si="0"/>
        <v>230</v>
      </c>
      <c r="N54" s="15">
        <f t="shared" si="1"/>
        <v>76.666666666666671</v>
      </c>
      <c r="O54" s="14" t="str">
        <f t="shared" si="2"/>
        <v>Good</v>
      </c>
      <c r="P54" s="15">
        <f t="shared" si="3"/>
        <v>25.555555555555557</v>
      </c>
      <c r="Q54" s="14" t="str">
        <f t="shared" si="4"/>
        <v>No</v>
      </c>
      <c r="R54" s="14" t="str">
        <f t="shared" si="5"/>
        <v>Normal Students</v>
      </c>
      <c r="S54" s="14" t="str">
        <f t="shared" si="6"/>
        <v>Unbalanced Student</v>
      </c>
      <c r="T54" s="14" t="str">
        <f t="shared" si="7"/>
        <v>High</v>
      </c>
      <c r="U54" s="21" t="str">
        <f t="shared" si="8"/>
        <v>B</v>
      </c>
    </row>
    <row r="55" spans="2:21">
      <c r="B55" s="20">
        <v>52</v>
      </c>
      <c r="C55" s="14" t="s">
        <v>68</v>
      </c>
      <c r="D55" s="14" t="s">
        <v>69</v>
      </c>
      <c r="E55" s="14">
        <v>4</v>
      </c>
      <c r="F55" s="14">
        <v>88</v>
      </c>
      <c r="G55" s="14">
        <v>82</v>
      </c>
      <c r="H55" s="14">
        <v>79</v>
      </c>
      <c r="I55" s="14">
        <v>85</v>
      </c>
      <c r="J55" s="14" t="s">
        <v>70</v>
      </c>
      <c r="K55" s="14">
        <v>7</v>
      </c>
      <c r="L55" s="14">
        <v>3</v>
      </c>
      <c r="M55" s="15">
        <f t="shared" si="0"/>
        <v>246</v>
      </c>
      <c r="N55" s="15">
        <f t="shared" si="1"/>
        <v>82</v>
      </c>
      <c r="O55" s="14" t="str">
        <f t="shared" si="2"/>
        <v>Excellent</v>
      </c>
      <c r="P55" s="15">
        <f t="shared" si="3"/>
        <v>20.5</v>
      </c>
      <c r="Q55" s="14" t="str">
        <f t="shared" si="4"/>
        <v>No</v>
      </c>
      <c r="R55" s="14" t="str">
        <f t="shared" si="5"/>
        <v>Normal Students</v>
      </c>
      <c r="S55" s="14" t="str">
        <f t="shared" si="6"/>
        <v>Balanced Student</v>
      </c>
      <c r="T55" s="14" t="str">
        <f t="shared" si="7"/>
        <v>High</v>
      </c>
      <c r="U55" s="21" t="str">
        <f t="shared" si="8"/>
        <v>A</v>
      </c>
    </row>
    <row r="56" spans="2:21">
      <c r="B56" s="20">
        <v>53</v>
      </c>
      <c r="C56" s="14" t="s">
        <v>165</v>
      </c>
      <c r="D56" s="14" t="s">
        <v>15</v>
      </c>
      <c r="E56" s="14">
        <v>5</v>
      </c>
      <c r="F56" s="14">
        <v>90</v>
      </c>
      <c r="G56" s="14">
        <v>85</v>
      </c>
      <c r="H56" s="14">
        <v>87</v>
      </c>
      <c r="I56" s="14">
        <v>89</v>
      </c>
      <c r="J56" s="14" t="s">
        <v>13</v>
      </c>
      <c r="K56" s="14">
        <v>6</v>
      </c>
      <c r="L56" s="14">
        <v>2</v>
      </c>
      <c r="M56" s="15">
        <f t="shared" si="0"/>
        <v>261</v>
      </c>
      <c r="N56" s="15">
        <f t="shared" si="1"/>
        <v>87</v>
      </c>
      <c r="O56" s="14" t="str">
        <f t="shared" si="2"/>
        <v>Excellent</v>
      </c>
      <c r="P56" s="15">
        <f t="shared" si="3"/>
        <v>17.399999999999999</v>
      </c>
      <c r="Q56" s="14" t="str">
        <f t="shared" si="4"/>
        <v>No</v>
      </c>
      <c r="R56" s="14" t="str">
        <f t="shared" si="5"/>
        <v>Normal Students</v>
      </c>
      <c r="S56" s="14" t="str">
        <f t="shared" si="6"/>
        <v>Balanced Student</v>
      </c>
      <c r="T56" s="14" t="str">
        <f t="shared" si="7"/>
        <v>High</v>
      </c>
      <c r="U56" s="21" t="str">
        <f t="shared" si="8"/>
        <v>A</v>
      </c>
    </row>
    <row r="57" spans="2:21">
      <c r="B57" s="20">
        <v>54</v>
      </c>
      <c r="C57" s="14" t="s">
        <v>71</v>
      </c>
      <c r="D57" s="14" t="s">
        <v>12</v>
      </c>
      <c r="E57" s="14">
        <v>4</v>
      </c>
      <c r="F57" s="14">
        <v>88</v>
      </c>
      <c r="G57" s="14">
        <v>82</v>
      </c>
      <c r="H57" s="14">
        <v>80</v>
      </c>
      <c r="I57" s="14">
        <v>85</v>
      </c>
      <c r="J57" s="14" t="s">
        <v>13</v>
      </c>
      <c r="K57" s="14">
        <v>7</v>
      </c>
      <c r="L57" s="14">
        <v>3</v>
      </c>
      <c r="M57" s="15">
        <f t="shared" si="0"/>
        <v>247</v>
      </c>
      <c r="N57" s="15">
        <f t="shared" si="1"/>
        <v>82.333333333333329</v>
      </c>
      <c r="O57" s="14" t="str">
        <f t="shared" si="2"/>
        <v>Excellent</v>
      </c>
      <c r="P57" s="15">
        <f t="shared" si="3"/>
        <v>20.583333333333332</v>
      </c>
      <c r="Q57" s="14" t="str">
        <f t="shared" si="4"/>
        <v>No</v>
      </c>
      <c r="R57" s="14" t="str">
        <f t="shared" si="5"/>
        <v>Normal Students</v>
      </c>
      <c r="S57" s="14" t="str">
        <f t="shared" si="6"/>
        <v>Balanced Student</v>
      </c>
      <c r="T57" s="14" t="str">
        <f t="shared" si="7"/>
        <v>High</v>
      </c>
      <c r="U57" s="21" t="str">
        <f t="shared" si="8"/>
        <v>A</v>
      </c>
    </row>
    <row r="58" spans="2:21">
      <c r="B58" s="20">
        <v>55</v>
      </c>
      <c r="C58" s="14" t="s">
        <v>72</v>
      </c>
      <c r="D58" s="14" t="s">
        <v>12</v>
      </c>
      <c r="E58" s="14">
        <v>2</v>
      </c>
      <c r="F58" s="14">
        <v>75</v>
      </c>
      <c r="G58" s="14">
        <v>65</v>
      </c>
      <c r="H58" s="14">
        <v>60</v>
      </c>
      <c r="I58" s="14">
        <v>68</v>
      </c>
      <c r="J58" s="14" t="s">
        <v>16</v>
      </c>
      <c r="K58" s="14">
        <v>8</v>
      </c>
      <c r="L58" s="14">
        <v>5</v>
      </c>
      <c r="M58" s="15">
        <f t="shared" si="0"/>
        <v>193</v>
      </c>
      <c r="N58" s="15">
        <f t="shared" si="1"/>
        <v>64.333333333333329</v>
      </c>
      <c r="O58" s="14" t="str">
        <f t="shared" si="2"/>
        <v>Good</v>
      </c>
      <c r="P58" s="15">
        <f t="shared" si="3"/>
        <v>32.166666666666664</v>
      </c>
      <c r="Q58" s="14" t="str">
        <f t="shared" si="4"/>
        <v>No</v>
      </c>
      <c r="R58" s="14" t="str">
        <f t="shared" si="5"/>
        <v>Normal Students</v>
      </c>
      <c r="S58" s="14" t="str">
        <f t="shared" si="6"/>
        <v>Unbalanced Student</v>
      </c>
      <c r="T58" s="14" t="str">
        <f t="shared" si="7"/>
        <v>Medium</v>
      </c>
      <c r="U58" s="21" t="str">
        <f t="shared" si="8"/>
        <v>C</v>
      </c>
    </row>
    <row r="59" spans="2:21">
      <c r="B59" s="20">
        <v>56</v>
      </c>
      <c r="C59" s="14" t="s">
        <v>73</v>
      </c>
      <c r="D59" s="14" t="s">
        <v>12</v>
      </c>
      <c r="E59" s="14">
        <v>3</v>
      </c>
      <c r="F59" s="14">
        <v>80</v>
      </c>
      <c r="G59" s="14">
        <v>75</v>
      </c>
      <c r="H59" s="14">
        <v>72</v>
      </c>
      <c r="I59" s="14">
        <v>78</v>
      </c>
      <c r="J59" s="14" t="s">
        <v>13</v>
      </c>
      <c r="K59" s="14">
        <v>7</v>
      </c>
      <c r="L59" s="14">
        <v>4</v>
      </c>
      <c r="M59" s="15">
        <f t="shared" si="0"/>
        <v>225</v>
      </c>
      <c r="N59" s="15">
        <f t="shared" si="1"/>
        <v>75</v>
      </c>
      <c r="O59" s="14" t="str">
        <f t="shared" si="2"/>
        <v>Good</v>
      </c>
      <c r="P59" s="15">
        <f t="shared" si="3"/>
        <v>25</v>
      </c>
      <c r="Q59" s="14" t="str">
        <f t="shared" si="4"/>
        <v>No</v>
      </c>
      <c r="R59" s="14" t="str">
        <f t="shared" si="5"/>
        <v>Normal Students</v>
      </c>
      <c r="S59" s="14" t="str">
        <f t="shared" si="6"/>
        <v>Unbalanced Student</v>
      </c>
      <c r="T59" s="14" t="str">
        <f t="shared" si="7"/>
        <v>High</v>
      </c>
      <c r="U59" s="21" t="str">
        <f t="shared" si="8"/>
        <v>B</v>
      </c>
    </row>
    <row r="60" spans="2:21">
      <c r="B60" s="20">
        <v>57</v>
      </c>
      <c r="C60" s="14" t="s">
        <v>48</v>
      </c>
      <c r="D60" s="14" t="s">
        <v>15</v>
      </c>
      <c r="E60" s="14">
        <v>5</v>
      </c>
      <c r="F60" s="14">
        <v>90</v>
      </c>
      <c r="G60" s="14">
        <v>86</v>
      </c>
      <c r="H60" s="14">
        <v>88</v>
      </c>
      <c r="I60" s="14">
        <v>91</v>
      </c>
      <c r="J60" s="14" t="s">
        <v>13</v>
      </c>
      <c r="K60" s="14">
        <v>6</v>
      </c>
      <c r="L60" s="14">
        <v>2</v>
      </c>
      <c r="M60" s="15">
        <f t="shared" si="0"/>
        <v>265</v>
      </c>
      <c r="N60" s="15">
        <f t="shared" si="1"/>
        <v>88.333333333333329</v>
      </c>
      <c r="O60" s="14" t="str">
        <f t="shared" si="2"/>
        <v>Excellent</v>
      </c>
      <c r="P60" s="15">
        <f t="shared" si="3"/>
        <v>17.666666666666664</v>
      </c>
      <c r="Q60" s="14" t="str">
        <f t="shared" si="4"/>
        <v>No</v>
      </c>
      <c r="R60" s="14" t="str">
        <f t="shared" si="5"/>
        <v>Normal Students</v>
      </c>
      <c r="S60" s="14" t="str">
        <f t="shared" si="6"/>
        <v>Balanced Student</v>
      </c>
      <c r="T60" s="14" t="str">
        <f t="shared" si="7"/>
        <v>High</v>
      </c>
      <c r="U60" s="21" t="str">
        <f t="shared" si="8"/>
        <v>A</v>
      </c>
    </row>
    <row r="61" spans="2:21">
      <c r="B61" s="20">
        <v>58</v>
      </c>
      <c r="C61" s="14" t="s">
        <v>74</v>
      </c>
      <c r="D61" s="14" t="s">
        <v>15</v>
      </c>
      <c r="E61" s="14">
        <v>4</v>
      </c>
      <c r="F61" s="14">
        <v>85</v>
      </c>
      <c r="G61" s="14">
        <v>80</v>
      </c>
      <c r="H61" s="14">
        <v>82</v>
      </c>
      <c r="I61" s="14">
        <v>84</v>
      </c>
      <c r="J61" s="14" t="s">
        <v>13</v>
      </c>
      <c r="K61" s="14">
        <v>7</v>
      </c>
      <c r="L61" s="14">
        <v>3</v>
      </c>
      <c r="M61" s="15">
        <f t="shared" si="0"/>
        <v>246</v>
      </c>
      <c r="N61" s="15">
        <f t="shared" si="1"/>
        <v>82</v>
      </c>
      <c r="O61" s="14" t="str">
        <f t="shared" si="2"/>
        <v>Excellent</v>
      </c>
      <c r="P61" s="15">
        <f t="shared" si="3"/>
        <v>20.5</v>
      </c>
      <c r="Q61" s="14" t="str">
        <f t="shared" si="4"/>
        <v>No</v>
      </c>
      <c r="R61" s="14" t="str">
        <f t="shared" si="5"/>
        <v>Normal Students</v>
      </c>
      <c r="S61" s="14" t="str">
        <f t="shared" si="6"/>
        <v>Balanced Student</v>
      </c>
      <c r="T61" s="14" t="str">
        <f t="shared" si="7"/>
        <v>High</v>
      </c>
      <c r="U61" s="21" t="str">
        <f t="shared" si="8"/>
        <v>A</v>
      </c>
    </row>
    <row r="62" spans="2:21">
      <c r="B62" s="20">
        <v>59</v>
      </c>
      <c r="C62" s="14" t="s">
        <v>75</v>
      </c>
      <c r="D62" s="14" t="s">
        <v>12</v>
      </c>
      <c r="E62" s="14">
        <v>1</v>
      </c>
      <c r="F62" s="14">
        <v>60</v>
      </c>
      <c r="G62" s="14">
        <v>50</v>
      </c>
      <c r="H62" s="14">
        <v>48</v>
      </c>
      <c r="I62" s="14">
        <v>55</v>
      </c>
      <c r="J62" s="14" t="s">
        <v>16</v>
      </c>
      <c r="K62" s="14">
        <v>8</v>
      </c>
      <c r="L62" s="14">
        <v>6</v>
      </c>
      <c r="M62" s="15">
        <f t="shared" si="0"/>
        <v>153</v>
      </c>
      <c r="N62" s="15">
        <f t="shared" si="1"/>
        <v>51</v>
      </c>
      <c r="O62" s="14" t="str">
        <f t="shared" si="2"/>
        <v>Needs Improvement</v>
      </c>
      <c r="P62" s="15">
        <f t="shared" si="3"/>
        <v>51</v>
      </c>
      <c r="Q62" s="14" t="str">
        <f t="shared" si="4"/>
        <v>Yes</v>
      </c>
      <c r="R62" s="14" t="str">
        <f t="shared" si="5"/>
        <v>Normal Students</v>
      </c>
      <c r="S62" s="14" t="str">
        <f t="shared" si="6"/>
        <v>Unbalanced Student</v>
      </c>
      <c r="T62" s="14" t="str">
        <f t="shared" si="7"/>
        <v>Medium</v>
      </c>
      <c r="U62" s="21" t="str">
        <f t="shared" si="8"/>
        <v>D</v>
      </c>
    </row>
    <row r="63" spans="2:21">
      <c r="B63" s="20">
        <v>60</v>
      </c>
      <c r="C63" s="14" t="s">
        <v>62</v>
      </c>
      <c r="D63" s="14" t="s">
        <v>15</v>
      </c>
      <c r="E63" s="14">
        <v>6</v>
      </c>
      <c r="F63" s="14">
        <v>95</v>
      </c>
      <c r="G63" s="14">
        <v>92</v>
      </c>
      <c r="H63" s="14">
        <v>93</v>
      </c>
      <c r="I63" s="14">
        <v>96</v>
      </c>
      <c r="J63" s="14" t="s">
        <v>16</v>
      </c>
      <c r="K63" s="14">
        <v>6</v>
      </c>
      <c r="L63" s="14">
        <v>2</v>
      </c>
      <c r="M63" s="15">
        <f t="shared" si="0"/>
        <v>281</v>
      </c>
      <c r="N63" s="15">
        <f t="shared" si="1"/>
        <v>93.666666666666671</v>
      </c>
      <c r="O63" s="14" t="str">
        <f t="shared" si="2"/>
        <v>Excellent</v>
      </c>
      <c r="P63" s="15">
        <f t="shared" si="3"/>
        <v>15.611111111111112</v>
      </c>
      <c r="Q63" s="14" t="str">
        <f t="shared" si="4"/>
        <v>No</v>
      </c>
      <c r="R63" s="14" t="str">
        <f t="shared" si="5"/>
        <v>Normal Students</v>
      </c>
      <c r="S63" s="14" t="str">
        <f t="shared" si="6"/>
        <v>Balanced Student</v>
      </c>
      <c r="T63" s="14" t="str">
        <f t="shared" si="7"/>
        <v>High</v>
      </c>
      <c r="U63" s="21" t="str">
        <f t="shared" si="8"/>
        <v>A</v>
      </c>
    </row>
    <row r="64" spans="2:21">
      <c r="B64" s="20">
        <v>61</v>
      </c>
      <c r="C64" s="14" t="s">
        <v>76</v>
      </c>
      <c r="D64" s="14" t="s">
        <v>15</v>
      </c>
      <c r="E64" s="14">
        <v>3</v>
      </c>
      <c r="F64" s="14">
        <v>78</v>
      </c>
      <c r="G64" s="14">
        <v>72</v>
      </c>
      <c r="H64" s="14">
        <v>70</v>
      </c>
      <c r="I64" s="14">
        <v>75</v>
      </c>
      <c r="J64" s="14" t="s">
        <v>13</v>
      </c>
      <c r="K64" s="14">
        <v>7</v>
      </c>
      <c r="L64" s="14">
        <v>4</v>
      </c>
      <c r="M64" s="15">
        <f t="shared" si="0"/>
        <v>217</v>
      </c>
      <c r="N64" s="15">
        <f t="shared" si="1"/>
        <v>72.333333333333329</v>
      </c>
      <c r="O64" s="14" t="str">
        <f t="shared" si="2"/>
        <v>Good</v>
      </c>
      <c r="P64" s="15">
        <f t="shared" si="3"/>
        <v>24.111111111111111</v>
      </c>
      <c r="Q64" s="14" t="str">
        <f t="shared" si="4"/>
        <v>No</v>
      </c>
      <c r="R64" s="14" t="str">
        <f t="shared" si="5"/>
        <v>Normal Students</v>
      </c>
      <c r="S64" s="14" t="str">
        <f t="shared" si="6"/>
        <v>Unbalanced Student</v>
      </c>
      <c r="T64" s="14" t="str">
        <f t="shared" si="7"/>
        <v>Medium</v>
      </c>
      <c r="U64" s="21" t="str">
        <f t="shared" si="8"/>
        <v>B</v>
      </c>
    </row>
    <row r="65" spans="2:21">
      <c r="B65" s="20">
        <v>62</v>
      </c>
      <c r="C65" s="14" t="s">
        <v>77</v>
      </c>
      <c r="D65" s="14" t="s">
        <v>15</v>
      </c>
      <c r="E65" s="14">
        <v>0</v>
      </c>
      <c r="F65" s="14">
        <v>82</v>
      </c>
      <c r="G65" s="14">
        <v>78</v>
      </c>
      <c r="H65" s="14">
        <v>76</v>
      </c>
      <c r="I65" s="14">
        <v>80</v>
      </c>
      <c r="J65" s="14" t="s">
        <v>13</v>
      </c>
      <c r="K65" s="14">
        <v>7</v>
      </c>
      <c r="L65" s="14">
        <v>3</v>
      </c>
      <c r="M65" s="15">
        <f t="shared" si="0"/>
        <v>234</v>
      </c>
      <c r="N65" s="15">
        <f t="shared" si="1"/>
        <v>78</v>
      </c>
      <c r="O65" s="14" t="str">
        <f t="shared" si="2"/>
        <v>Good</v>
      </c>
      <c r="P65" s="15">
        <f t="shared" si="3"/>
        <v>0</v>
      </c>
      <c r="Q65" s="14" t="str">
        <f t="shared" si="4"/>
        <v>No</v>
      </c>
      <c r="R65" s="14" t="str">
        <f t="shared" si="5"/>
        <v>Normal Students</v>
      </c>
      <c r="S65" s="14" t="str">
        <f t="shared" si="6"/>
        <v>Unbalanced Student</v>
      </c>
      <c r="T65" s="14" t="str">
        <f t="shared" si="7"/>
        <v>High</v>
      </c>
      <c r="U65" s="21" t="str">
        <f t="shared" si="8"/>
        <v>B</v>
      </c>
    </row>
    <row r="66" spans="2:21">
      <c r="B66" s="20">
        <v>63</v>
      </c>
      <c r="C66" s="14" t="s">
        <v>78</v>
      </c>
      <c r="D66" s="14" t="s">
        <v>12</v>
      </c>
      <c r="E66" s="14">
        <v>2</v>
      </c>
      <c r="F66" s="14">
        <v>70</v>
      </c>
      <c r="G66" s="14">
        <v>65</v>
      </c>
      <c r="H66" s="14">
        <v>60</v>
      </c>
      <c r="I66" s="14">
        <v>66</v>
      </c>
      <c r="J66" s="14" t="s">
        <v>16</v>
      </c>
      <c r="K66" s="14">
        <v>8</v>
      </c>
      <c r="L66" s="14">
        <v>5</v>
      </c>
      <c r="M66" s="15">
        <f t="shared" si="0"/>
        <v>191</v>
      </c>
      <c r="N66" s="15">
        <f t="shared" si="1"/>
        <v>63.666666666666664</v>
      </c>
      <c r="O66" s="14" t="str">
        <f t="shared" si="2"/>
        <v>Good</v>
      </c>
      <c r="P66" s="15">
        <f t="shared" si="3"/>
        <v>31.833333333333332</v>
      </c>
      <c r="Q66" s="14" t="str">
        <f t="shared" si="4"/>
        <v>No</v>
      </c>
      <c r="R66" s="14" t="str">
        <f t="shared" si="5"/>
        <v>Normal Students</v>
      </c>
      <c r="S66" s="14" t="str">
        <f t="shared" si="6"/>
        <v>Unbalanced Student</v>
      </c>
      <c r="T66" s="14" t="str">
        <f t="shared" si="7"/>
        <v>Medium</v>
      </c>
      <c r="U66" s="21" t="str">
        <f t="shared" si="8"/>
        <v>C</v>
      </c>
    </row>
    <row r="67" spans="2:21">
      <c r="B67" s="20">
        <v>64</v>
      </c>
      <c r="C67" s="14" t="s">
        <v>79</v>
      </c>
      <c r="D67" s="14" t="s">
        <v>12</v>
      </c>
      <c r="E67" s="14">
        <v>3</v>
      </c>
      <c r="F67" s="14">
        <v>79</v>
      </c>
      <c r="G67" s="14">
        <v>74</v>
      </c>
      <c r="H67" s="14">
        <v>72</v>
      </c>
      <c r="I67" s="14">
        <v>77</v>
      </c>
      <c r="J67" s="14" t="s">
        <v>13</v>
      </c>
      <c r="K67" s="14">
        <v>7</v>
      </c>
      <c r="L67" s="14">
        <v>0</v>
      </c>
      <c r="M67" s="15">
        <f t="shared" si="0"/>
        <v>223</v>
      </c>
      <c r="N67" s="15">
        <f t="shared" si="1"/>
        <v>74.333333333333329</v>
      </c>
      <c r="O67" s="14" t="str">
        <f t="shared" si="2"/>
        <v>Good</v>
      </c>
      <c r="P67" s="15">
        <f t="shared" si="3"/>
        <v>24.777777777777775</v>
      </c>
      <c r="Q67" s="14" t="str">
        <f t="shared" si="4"/>
        <v>No</v>
      </c>
      <c r="R67" s="14" t="str">
        <f t="shared" si="5"/>
        <v>Normal Students</v>
      </c>
      <c r="S67" s="14" t="str">
        <f t="shared" si="6"/>
        <v>Unbalanced Student</v>
      </c>
      <c r="T67" s="14" t="str">
        <f t="shared" si="7"/>
        <v>Medium</v>
      </c>
      <c r="U67" s="21" t="str">
        <f t="shared" si="8"/>
        <v>B</v>
      </c>
    </row>
    <row r="68" spans="2:21">
      <c r="B68" s="20">
        <v>65</v>
      </c>
      <c r="C68" s="14" t="s">
        <v>80</v>
      </c>
      <c r="D68" s="14" t="s">
        <v>15</v>
      </c>
      <c r="E68" s="14">
        <v>5</v>
      </c>
      <c r="F68" s="14">
        <v>91</v>
      </c>
      <c r="G68" s="14">
        <v>87</v>
      </c>
      <c r="H68" s="14">
        <v>88</v>
      </c>
      <c r="I68" s="14">
        <v>90</v>
      </c>
      <c r="J68" s="14" t="s">
        <v>13</v>
      </c>
      <c r="K68" s="14">
        <v>6</v>
      </c>
      <c r="L68" s="14">
        <v>2</v>
      </c>
      <c r="M68" s="15">
        <f t="shared" si="0"/>
        <v>265</v>
      </c>
      <c r="N68" s="15">
        <f t="shared" si="1"/>
        <v>88.333333333333329</v>
      </c>
      <c r="O68" s="14" t="str">
        <f t="shared" si="2"/>
        <v>Excellent</v>
      </c>
      <c r="P68" s="15">
        <f t="shared" si="3"/>
        <v>17.666666666666664</v>
      </c>
      <c r="Q68" s="14" t="str">
        <f t="shared" si="4"/>
        <v>No</v>
      </c>
      <c r="R68" s="14" t="str">
        <f t="shared" si="5"/>
        <v>Normal Students</v>
      </c>
      <c r="S68" s="14" t="str">
        <f t="shared" si="6"/>
        <v>Balanced Student</v>
      </c>
      <c r="T68" s="14" t="str">
        <f t="shared" si="7"/>
        <v>High</v>
      </c>
      <c r="U68" s="21" t="str">
        <f t="shared" si="8"/>
        <v>A</v>
      </c>
    </row>
    <row r="69" spans="2:21">
      <c r="B69" s="20">
        <v>66</v>
      </c>
      <c r="C69" s="14" t="s">
        <v>81</v>
      </c>
      <c r="D69" s="14" t="s">
        <v>12</v>
      </c>
      <c r="E69" s="14">
        <v>4</v>
      </c>
      <c r="F69" s="14">
        <v>86</v>
      </c>
      <c r="G69" s="14">
        <v>82</v>
      </c>
      <c r="H69" s="14">
        <v>80</v>
      </c>
      <c r="I69" s="14">
        <v>84</v>
      </c>
      <c r="J69" s="14" t="s">
        <v>16</v>
      </c>
      <c r="K69" s="14">
        <v>7</v>
      </c>
      <c r="L69" s="14">
        <v>3</v>
      </c>
      <c r="M69" s="15">
        <f t="shared" ref="M69:M132" si="9">SUM(G69:I69)</f>
        <v>246</v>
      </c>
      <c r="N69" s="15">
        <f t="shared" ref="N69:N132" si="10">AVERAGE(G69:I69)</f>
        <v>82</v>
      </c>
      <c r="O69" s="14" t="str">
        <f t="shared" ref="O69:O132" si="11">IF(N69&gt;= 80, "Excellent",IF(N69&gt;=60, "Good","Needs Improvement"))</f>
        <v>Excellent</v>
      </c>
      <c r="P69" s="15">
        <f t="shared" ref="P69:P132" si="12">IF(E69,N69/E69,0)</f>
        <v>20.5</v>
      </c>
      <c r="Q69" s="14" t="str">
        <f t="shared" ref="Q69:Q132" si="13">IF(AND(F69 &lt; 75,N69 &lt; 60),"Yes", "No")</f>
        <v>No</v>
      </c>
      <c r="R69" s="14" t="str">
        <f t="shared" ref="R69:R132" si="14">IF(AND(N69&gt;=80,E69&lt;=2),"Smart Students","Normal Students")</f>
        <v>Normal Students</v>
      </c>
      <c r="S69" s="14" t="str">
        <f t="shared" ref="S69:S132" si="15">IF(AND(F69&gt;=75,K69&gt;=6,N69&gt;=80),"Balanced Student","Unbalanced Student")</f>
        <v>Balanced Student</v>
      </c>
      <c r="T69" s="14" t="str">
        <f t="shared" ref="T69:T132" si="16">IF(F69&gt;= 80, "High",
IF(F69&gt;=60,"Medium", "Low"))</f>
        <v>High</v>
      </c>
      <c r="U69" s="21" t="str">
        <f t="shared" ref="U69:U132" si="17">VLOOKUP(N69,$AA$5:$AB$9,2,1)</f>
        <v>A</v>
      </c>
    </row>
    <row r="70" spans="2:21">
      <c r="B70" s="20">
        <v>67</v>
      </c>
      <c r="C70" s="14" t="s">
        <v>58</v>
      </c>
      <c r="D70" s="14" t="s">
        <v>15</v>
      </c>
      <c r="E70" s="14">
        <v>3</v>
      </c>
      <c r="F70" s="14">
        <v>78</v>
      </c>
      <c r="G70" s="14">
        <v>72</v>
      </c>
      <c r="H70" s="14">
        <v>0</v>
      </c>
      <c r="I70" s="14">
        <v>75</v>
      </c>
      <c r="J70" s="14" t="s">
        <v>13</v>
      </c>
      <c r="K70" s="14">
        <v>7</v>
      </c>
      <c r="L70" s="14">
        <v>4</v>
      </c>
      <c r="M70" s="15">
        <f t="shared" si="9"/>
        <v>147</v>
      </c>
      <c r="N70" s="15">
        <f t="shared" si="10"/>
        <v>49</v>
      </c>
      <c r="O70" s="14" t="str">
        <f t="shared" si="11"/>
        <v>Needs Improvement</v>
      </c>
      <c r="P70" s="15">
        <f t="shared" si="12"/>
        <v>16.333333333333332</v>
      </c>
      <c r="Q70" s="14" t="str">
        <f t="shared" si="13"/>
        <v>No</v>
      </c>
      <c r="R70" s="14" t="str">
        <f t="shared" si="14"/>
        <v>Normal Students</v>
      </c>
      <c r="S70" s="14" t="str">
        <f t="shared" si="15"/>
        <v>Unbalanced Student</v>
      </c>
      <c r="T70" s="14" t="str">
        <f t="shared" si="16"/>
        <v>Medium</v>
      </c>
      <c r="U70" s="21" t="str">
        <f t="shared" si="17"/>
        <v>F</v>
      </c>
    </row>
    <row r="71" spans="2:21">
      <c r="B71" s="20">
        <v>68</v>
      </c>
      <c r="C71" s="14" t="s">
        <v>82</v>
      </c>
      <c r="D71" s="14" t="s">
        <v>12</v>
      </c>
      <c r="E71" s="14">
        <v>6</v>
      </c>
      <c r="F71" s="14">
        <v>94</v>
      </c>
      <c r="G71" s="14">
        <v>91</v>
      </c>
      <c r="H71" s="14">
        <v>90</v>
      </c>
      <c r="I71" s="14">
        <v>93</v>
      </c>
      <c r="J71" s="14" t="s">
        <v>16</v>
      </c>
      <c r="K71" s="14">
        <v>6</v>
      </c>
      <c r="L71" s="14">
        <v>2</v>
      </c>
      <c r="M71" s="15">
        <f t="shared" si="9"/>
        <v>274</v>
      </c>
      <c r="N71" s="15">
        <f t="shared" si="10"/>
        <v>91.333333333333329</v>
      </c>
      <c r="O71" s="14" t="str">
        <f t="shared" si="11"/>
        <v>Excellent</v>
      </c>
      <c r="P71" s="15">
        <f t="shared" si="12"/>
        <v>15.222222222222221</v>
      </c>
      <c r="Q71" s="14" t="str">
        <f t="shared" si="13"/>
        <v>No</v>
      </c>
      <c r="R71" s="14" t="str">
        <f t="shared" si="14"/>
        <v>Normal Students</v>
      </c>
      <c r="S71" s="14" t="str">
        <f t="shared" si="15"/>
        <v>Balanced Student</v>
      </c>
      <c r="T71" s="14" t="str">
        <f t="shared" si="16"/>
        <v>High</v>
      </c>
      <c r="U71" s="21" t="str">
        <f t="shared" si="17"/>
        <v>A</v>
      </c>
    </row>
    <row r="72" spans="2:21">
      <c r="B72" s="20">
        <v>69</v>
      </c>
      <c r="C72" s="14" t="s">
        <v>83</v>
      </c>
      <c r="D72" s="14" t="s">
        <v>15</v>
      </c>
      <c r="E72" s="14">
        <v>2</v>
      </c>
      <c r="F72" s="14">
        <v>72</v>
      </c>
      <c r="G72" s="14">
        <v>65</v>
      </c>
      <c r="H72" s="14">
        <v>63</v>
      </c>
      <c r="I72" s="14">
        <v>68</v>
      </c>
      <c r="J72" s="14" t="s">
        <v>13</v>
      </c>
      <c r="K72" s="14">
        <v>8</v>
      </c>
      <c r="L72" s="14">
        <v>5</v>
      </c>
      <c r="M72" s="15">
        <f t="shared" si="9"/>
        <v>196</v>
      </c>
      <c r="N72" s="15">
        <f t="shared" si="10"/>
        <v>65.333333333333329</v>
      </c>
      <c r="O72" s="14" t="str">
        <f t="shared" si="11"/>
        <v>Good</v>
      </c>
      <c r="P72" s="15">
        <f t="shared" si="12"/>
        <v>32.666666666666664</v>
      </c>
      <c r="Q72" s="14" t="str">
        <f t="shared" si="13"/>
        <v>No</v>
      </c>
      <c r="R72" s="14" t="str">
        <f t="shared" si="14"/>
        <v>Normal Students</v>
      </c>
      <c r="S72" s="14" t="str">
        <f t="shared" si="15"/>
        <v>Unbalanced Student</v>
      </c>
      <c r="T72" s="14" t="str">
        <f t="shared" si="16"/>
        <v>Medium</v>
      </c>
      <c r="U72" s="21" t="str">
        <f t="shared" si="17"/>
        <v>C</v>
      </c>
    </row>
    <row r="73" spans="2:21">
      <c r="B73" s="20">
        <v>70</v>
      </c>
      <c r="C73" s="14" t="s">
        <v>84</v>
      </c>
      <c r="D73" s="14" t="s">
        <v>15</v>
      </c>
      <c r="E73" s="14">
        <v>5</v>
      </c>
      <c r="F73" s="14">
        <v>90</v>
      </c>
      <c r="G73" s="14">
        <v>85</v>
      </c>
      <c r="H73" s="14">
        <v>87</v>
      </c>
      <c r="I73" s="14">
        <v>89</v>
      </c>
      <c r="J73" s="14" t="s">
        <v>13</v>
      </c>
      <c r="K73" s="14">
        <v>6</v>
      </c>
      <c r="L73" s="14">
        <v>2</v>
      </c>
      <c r="M73" s="15">
        <f t="shared" si="9"/>
        <v>261</v>
      </c>
      <c r="N73" s="15">
        <f t="shared" si="10"/>
        <v>87</v>
      </c>
      <c r="O73" s="14" t="str">
        <f t="shared" si="11"/>
        <v>Excellent</v>
      </c>
      <c r="P73" s="15">
        <f t="shared" si="12"/>
        <v>17.399999999999999</v>
      </c>
      <c r="Q73" s="14" t="str">
        <f t="shared" si="13"/>
        <v>No</v>
      </c>
      <c r="R73" s="14" t="str">
        <f t="shared" si="14"/>
        <v>Normal Students</v>
      </c>
      <c r="S73" s="14" t="str">
        <f t="shared" si="15"/>
        <v>Balanced Student</v>
      </c>
      <c r="T73" s="14" t="str">
        <f t="shared" si="16"/>
        <v>High</v>
      </c>
      <c r="U73" s="21" t="str">
        <f t="shared" si="17"/>
        <v>A</v>
      </c>
    </row>
    <row r="74" spans="2:21">
      <c r="B74" s="20">
        <v>71</v>
      </c>
      <c r="C74" s="14" t="s">
        <v>85</v>
      </c>
      <c r="D74" s="14" t="s">
        <v>12</v>
      </c>
      <c r="E74" s="14">
        <v>3</v>
      </c>
      <c r="F74" s="14">
        <v>80</v>
      </c>
      <c r="G74" s="14">
        <v>75</v>
      </c>
      <c r="H74" s="14">
        <v>73</v>
      </c>
      <c r="I74" s="14">
        <v>78</v>
      </c>
      <c r="J74" s="14" t="s">
        <v>16</v>
      </c>
      <c r="K74" s="14">
        <v>7</v>
      </c>
      <c r="L74" s="14">
        <v>4</v>
      </c>
      <c r="M74" s="15">
        <f t="shared" si="9"/>
        <v>226</v>
      </c>
      <c r="N74" s="15">
        <f t="shared" si="10"/>
        <v>75.333333333333329</v>
      </c>
      <c r="O74" s="14" t="str">
        <f t="shared" si="11"/>
        <v>Good</v>
      </c>
      <c r="P74" s="15">
        <f t="shared" si="12"/>
        <v>25.111111111111111</v>
      </c>
      <c r="Q74" s="14" t="str">
        <f t="shared" si="13"/>
        <v>No</v>
      </c>
      <c r="R74" s="14" t="str">
        <f t="shared" si="14"/>
        <v>Normal Students</v>
      </c>
      <c r="S74" s="14" t="str">
        <f t="shared" si="15"/>
        <v>Unbalanced Student</v>
      </c>
      <c r="T74" s="14" t="str">
        <f t="shared" si="16"/>
        <v>High</v>
      </c>
      <c r="U74" s="21" t="str">
        <f t="shared" si="17"/>
        <v>B</v>
      </c>
    </row>
    <row r="75" spans="2:21">
      <c r="B75" s="20">
        <v>72</v>
      </c>
      <c r="C75" s="14" t="s">
        <v>86</v>
      </c>
      <c r="D75" s="14" t="s">
        <v>15</v>
      </c>
      <c r="E75" s="14">
        <v>4</v>
      </c>
      <c r="F75" s="14">
        <v>88</v>
      </c>
      <c r="G75" s="14">
        <v>84</v>
      </c>
      <c r="H75" s="14">
        <v>82</v>
      </c>
      <c r="I75" s="14">
        <v>86</v>
      </c>
      <c r="J75" s="14" t="s">
        <v>13</v>
      </c>
      <c r="K75" s="14">
        <v>7</v>
      </c>
      <c r="L75" s="14">
        <v>3</v>
      </c>
      <c r="M75" s="15">
        <f t="shared" si="9"/>
        <v>252</v>
      </c>
      <c r="N75" s="15">
        <f t="shared" si="10"/>
        <v>84</v>
      </c>
      <c r="O75" s="14" t="str">
        <f t="shared" si="11"/>
        <v>Excellent</v>
      </c>
      <c r="P75" s="15">
        <f t="shared" si="12"/>
        <v>21</v>
      </c>
      <c r="Q75" s="14" t="str">
        <f t="shared" si="13"/>
        <v>No</v>
      </c>
      <c r="R75" s="14" t="str">
        <f t="shared" si="14"/>
        <v>Normal Students</v>
      </c>
      <c r="S75" s="14" t="str">
        <f t="shared" si="15"/>
        <v>Balanced Student</v>
      </c>
      <c r="T75" s="14" t="str">
        <f t="shared" si="16"/>
        <v>High</v>
      </c>
      <c r="U75" s="21" t="str">
        <f t="shared" si="17"/>
        <v>A</v>
      </c>
    </row>
    <row r="76" spans="2:21">
      <c r="B76" s="20">
        <v>73</v>
      </c>
      <c r="C76" s="14" t="s">
        <v>87</v>
      </c>
      <c r="D76" s="14" t="s">
        <v>12</v>
      </c>
      <c r="E76" s="14">
        <v>2</v>
      </c>
      <c r="F76" s="14">
        <v>68</v>
      </c>
      <c r="G76" s="14">
        <v>60</v>
      </c>
      <c r="H76" s="14">
        <v>58</v>
      </c>
      <c r="I76" s="14">
        <v>64</v>
      </c>
      <c r="J76" s="14" t="s">
        <v>16</v>
      </c>
      <c r="K76" s="14">
        <v>8</v>
      </c>
      <c r="L76" s="14">
        <v>5</v>
      </c>
      <c r="M76" s="15">
        <f t="shared" si="9"/>
        <v>182</v>
      </c>
      <c r="N76" s="15">
        <f t="shared" si="10"/>
        <v>60.666666666666664</v>
      </c>
      <c r="O76" s="14" t="str">
        <f t="shared" si="11"/>
        <v>Good</v>
      </c>
      <c r="P76" s="15">
        <f t="shared" si="12"/>
        <v>30.333333333333332</v>
      </c>
      <c r="Q76" s="14" t="str">
        <f t="shared" si="13"/>
        <v>No</v>
      </c>
      <c r="R76" s="14" t="str">
        <f t="shared" si="14"/>
        <v>Normal Students</v>
      </c>
      <c r="S76" s="14" t="str">
        <f t="shared" si="15"/>
        <v>Unbalanced Student</v>
      </c>
      <c r="T76" s="14" t="str">
        <f t="shared" si="16"/>
        <v>Medium</v>
      </c>
      <c r="U76" s="21" t="str">
        <f t="shared" si="17"/>
        <v>C</v>
      </c>
    </row>
    <row r="77" spans="2:21">
      <c r="B77" s="20">
        <v>74</v>
      </c>
      <c r="C77" s="14" t="s">
        <v>88</v>
      </c>
      <c r="D77" s="14" t="s">
        <v>15</v>
      </c>
      <c r="E77" s="14">
        <v>5</v>
      </c>
      <c r="F77" s="14">
        <v>92</v>
      </c>
      <c r="G77" s="14">
        <v>89</v>
      </c>
      <c r="H77" s="14">
        <v>90</v>
      </c>
      <c r="I77" s="14">
        <v>93</v>
      </c>
      <c r="J77" s="14" t="s">
        <v>13</v>
      </c>
      <c r="K77" s="14">
        <v>6</v>
      </c>
      <c r="L77" s="14">
        <v>2</v>
      </c>
      <c r="M77" s="15">
        <f t="shared" si="9"/>
        <v>272</v>
      </c>
      <c r="N77" s="15">
        <f t="shared" si="10"/>
        <v>90.666666666666671</v>
      </c>
      <c r="O77" s="14" t="str">
        <f t="shared" si="11"/>
        <v>Excellent</v>
      </c>
      <c r="P77" s="15">
        <f t="shared" si="12"/>
        <v>18.133333333333333</v>
      </c>
      <c r="Q77" s="14" t="str">
        <f t="shared" si="13"/>
        <v>No</v>
      </c>
      <c r="R77" s="14" t="str">
        <f t="shared" si="14"/>
        <v>Normal Students</v>
      </c>
      <c r="S77" s="14" t="str">
        <f t="shared" si="15"/>
        <v>Balanced Student</v>
      </c>
      <c r="T77" s="14" t="str">
        <f t="shared" si="16"/>
        <v>High</v>
      </c>
      <c r="U77" s="21" t="str">
        <f t="shared" si="17"/>
        <v>A</v>
      </c>
    </row>
    <row r="78" spans="2:21">
      <c r="B78" s="20">
        <v>75</v>
      </c>
      <c r="C78" s="14" t="s">
        <v>89</v>
      </c>
      <c r="D78" s="14" t="s">
        <v>12</v>
      </c>
      <c r="E78" s="14">
        <v>1</v>
      </c>
      <c r="F78" s="14">
        <v>62</v>
      </c>
      <c r="G78" s="14">
        <v>52</v>
      </c>
      <c r="H78" s="14">
        <v>50</v>
      </c>
      <c r="I78" s="14">
        <v>57</v>
      </c>
      <c r="J78" s="14" t="s">
        <v>16</v>
      </c>
      <c r="K78" s="14">
        <v>8</v>
      </c>
      <c r="L78" s="14">
        <v>6</v>
      </c>
      <c r="M78" s="15">
        <f t="shared" si="9"/>
        <v>159</v>
      </c>
      <c r="N78" s="15">
        <f t="shared" si="10"/>
        <v>53</v>
      </c>
      <c r="O78" s="14" t="str">
        <f t="shared" si="11"/>
        <v>Needs Improvement</v>
      </c>
      <c r="P78" s="15">
        <f t="shared" si="12"/>
        <v>53</v>
      </c>
      <c r="Q78" s="14" t="str">
        <f t="shared" si="13"/>
        <v>Yes</v>
      </c>
      <c r="R78" s="14" t="str">
        <f t="shared" si="14"/>
        <v>Normal Students</v>
      </c>
      <c r="S78" s="14" t="str">
        <f t="shared" si="15"/>
        <v>Unbalanced Student</v>
      </c>
      <c r="T78" s="14" t="str">
        <f t="shared" si="16"/>
        <v>Medium</v>
      </c>
      <c r="U78" s="21" t="str">
        <f t="shared" si="17"/>
        <v>D</v>
      </c>
    </row>
    <row r="79" spans="2:21">
      <c r="B79" s="20">
        <v>76</v>
      </c>
      <c r="C79" s="14" t="s">
        <v>90</v>
      </c>
      <c r="D79" s="14" t="s">
        <v>15</v>
      </c>
      <c r="E79" s="14">
        <v>6</v>
      </c>
      <c r="F79" s="14">
        <v>96</v>
      </c>
      <c r="G79" s="14">
        <v>93</v>
      </c>
      <c r="H79" s="14">
        <v>94</v>
      </c>
      <c r="I79" s="14">
        <v>97</v>
      </c>
      <c r="J79" s="14" t="s">
        <v>16</v>
      </c>
      <c r="K79" s="14">
        <v>6</v>
      </c>
      <c r="L79" s="14">
        <v>2</v>
      </c>
      <c r="M79" s="15">
        <f t="shared" si="9"/>
        <v>284</v>
      </c>
      <c r="N79" s="15">
        <f t="shared" si="10"/>
        <v>94.666666666666671</v>
      </c>
      <c r="O79" s="14" t="str">
        <f t="shared" si="11"/>
        <v>Excellent</v>
      </c>
      <c r="P79" s="15">
        <f t="shared" si="12"/>
        <v>15.777777777777779</v>
      </c>
      <c r="Q79" s="14" t="str">
        <f t="shared" si="13"/>
        <v>No</v>
      </c>
      <c r="R79" s="14" t="str">
        <f t="shared" si="14"/>
        <v>Normal Students</v>
      </c>
      <c r="S79" s="14" t="str">
        <f t="shared" si="15"/>
        <v>Balanced Student</v>
      </c>
      <c r="T79" s="14" t="str">
        <f t="shared" si="16"/>
        <v>High</v>
      </c>
      <c r="U79" s="21" t="str">
        <f t="shared" si="17"/>
        <v>A</v>
      </c>
    </row>
    <row r="80" spans="2:21">
      <c r="B80" s="20">
        <v>77</v>
      </c>
      <c r="C80" s="14" t="s">
        <v>91</v>
      </c>
      <c r="D80" s="14" t="s">
        <v>15</v>
      </c>
      <c r="E80" s="14">
        <v>3</v>
      </c>
      <c r="F80" s="14">
        <v>79</v>
      </c>
      <c r="G80" s="14">
        <v>74</v>
      </c>
      <c r="H80" s="14">
        <v>72</v>
      </c>
      <c r="I80" s="14">
        <v>76</v>
      </c>
      <c r="J80" s="14" t="s">
        <v>13</v>
      </c>
      <c r="K80" s="14">
        <v>7</v>
      </c>
      <c r="L80" s="14">
        <v>4</v>
      </c>
      <c r="M80" s="15">
        <f t="shared" si="9"/>
        <v>222</v>
      </c>
      <c r="N80" s="15">
        <f t="shared" si="10"/>
        <v>74</v>
      </c>
      <c r="O80" s="14" t="str">
        <f t="shared" si="11"/>
        <v>Good</v>
      </c>
      <c r="P80" s="15">
        <f t="shared" si="12"/>
        <v>24.666666666666668</v>
      </c>
      <c r="Q80" s="14" t="str">
        <f t="shared" si="13"/>
        <v>No</v>
      </c>
      <c r="R80" s="14" t="str">
        <f t="shared" si="14"/>
        <v>Normal Students</v>
      </c>
      <c r="S80" s="14" t="str">
        <f t="shared" si="15"/>
        <v>Unbalanced Student</v>
      </c>
      <c r="T80" s="14" t="str">
        <f t="shared" si="16"/>
        <v>Medium</v>
      </c>
      <c r="U80" s="21" t="str">
        <f t="shared" si="17"/>
        <v>B</v>
      </c>
    </row>
    <row r="81" spans="2:21">
      <c r="B81" s="20">
        <v>78</v>
      </c>
      <c r="C81" s="14" t="s">
        <v>92</v>
      </c>
      <c r="D81" s="14" t="s">
        <v>12</v>
      </c>
      <c r="E81" s="14">
        <v>2</v>
      </c>
      <c r="F81" s="14">
        <v>70</v>
      </c>
      <c r="G81" s="14">
        <v>63</v>
      </c>
      <c r="H81" s="14">
        <v>60</v>
      </c>
      <c r="I81" s="14">
        <v>66</v>
      </c>
      <c r="J81" s="14" t="s">
        <v>13</v>
      </c>
      <c r="K81" s="14">
        <v>8</v>
      </c>
      <c r="L81" s="14">
        <v>5</v>
      </c>
      <c r="M81" s="15">
        <f t="shared" si="9"/>
        <v>189</v>
      </c>
      <c r="N81" s="15">
        <f t="shared" si="10"/>
        <v>63</v>
      </c>
      <c r="O81" s="14" t="str">
        <f t="shared" si="11"/>
        <v>Good</v>
      </c>
      <c r="P81" s="15">
        <f t="shared" si="12"/>
        <v>31.5</v>
      </c>
      <c r="Q81" s="14" t="str">
        <f t="shared" si="13"/>
        <v>No</v>
      </c>
      <c r="R81" s="14" t="str">
        <f t="shared" si="14"/>
        <v>Normal Students</v>
      </c>
      <c r="S81" s="14" t="str">
        <f t="shared" si="15"/>
        <v>Unbalanced Student</v>
      </c>
      <c r="T81" s="14" t="str">
        <f t="shared" si="16"/>
        <v>Medium</v>
      </c>
      <c r="U81" s="21" t="str">
        <f t="shared" si="17"/>
        <v>C</v>
      </c>
    </row>
    <row r="82" spans="2:21">
      <c r="B82" s="20">
        <v>79</v>
      </c>
      <c r="C82" s="14" t="s">
        <v>93</v>
      </c>
      <c r="D82" s="14" t="s">
        <v>15</v>
      </c>
      <c r="E82" s="14">
        <v>4</v>
      </c>
      <c r="F82" s="14">
        <v>87</v>
      </c>
      <c r="G82" s="14">
        <v>83</v>
      </c>
      <c r="H82" s="14">
        <v>81</v>
      </c>
      <c r="I82" s="14">
        <v>85</v>
      </c>
      <c r="J82" s="14" t="s">
        <v>16</v>
      </c>
      <c r="K82" s="14">
        <v>6</v>
      </c>
      <c r="L82" s="14">
        <v>3</v>
      </c>
      <c r="M82" s="15">
        <f t="shared" si="9"/>
        <v>249</v>
      </c>
      <c r="N82" s="15">
        <f t="shared" si="10"/>
        <v>83</v>
      </c>
      <c r="O82" s="14" t="str">
        <f t="shared" si="11"/>
        <v>Excellent</v>
      </c>
      <c r="P82" s="15">
        <f t="shared" si="12"/>
        <v>20.75</v>
      </c>
      <c r="Q82" s="14" t="str">
        <f t="shared" si="13"/>
        <v>No</v>
      </c>
      <c r="R82" s="14" t="str">
        <f t="shared" si="14"/>
        <v>Normal Students</v>
      </c>
      <c r="S82" s="14" t="str">
        <f t="shared" si="15"/>
        <v>Balanced Student</v>
      </c>
      <c r="T82" s="14" t="str">
        <f t="shared" si="16"/>
        <v>High</v>
      </c>
      <c r="U82" s="21" t="str">
        <f t="shared" si="17"/>
        <v>A</v>
      </c>
    </row>
    <row r="83" spans="2:21">
      <c r="B83" s="20">
        <v>80</v>
      </c>
      <c r="C83" s="14" t="s">
        <v>94</v>
      </c>
      <c r="D83" s="14" t="s">
        <v>12</v>
      </c>
      <c r="E83" s="14">
        <v>3</v>
      </c>
      <c r="F83" s="14">
        <v>82</v>
      </c>
      <c r="G83" s="14">
        <v>76</v>
      </c>
      <c r="H83" s="14">
        <v>75</v>
      </c>
      <c r="I83" s="14">
        <v>79</v>
      </c>
      <c r="J83" s="14" t="s">
        <v>16</v>
      </c>
      <c r="K83" s="14">
        <v>7</v>
      </c>
      <c r="L83" s="14">
        <v>4</v>
      </c>
      <c r="M83" s="15">
        <f t="shared" si="9"/>
        <v>230</v>
      </c>
      <c r="N83" s="15">
        <f t="shared" si="10"/>
        <v>76.666666666666671</v>
      </c>
      <c r="O83" s="14" t="str">
        <f t="shared" si="11"/>
        <v>Good</v>
      </c>
      <c r="P83" s="15">
        <f t="shared" si="12"/>
        <v>25.555555555555557</v>
      </c>
      <c r="Q83" s="14" t="str">
        <f t="shared" si="13"/>
        <v>No</v>
      </c>
      <c r="R83" s="14" t="str">
        <f t="shared" si="14"/>
        <v>Normal Students</v>
      </c>
      <c r="S83" s="14" t="str">
        <f t="shared" si="15"/>
        <v>Unbalanced Student</v>
      </c>
      <c r="T83" s="14" t="str">
        <f t="shared" si="16"/>
        <v>High</v>
      </c>
      <c r="U83" s="21" t="str">
        <f t="shared" si="17"/>
        <v>B</v>
      </c>
    </row>
    <row r="84" spans="2:21">
      <c r="B84" s="20">
        <v>81</v>
      </c>
      <c r="C84" s="14" t="s">
        <v>95</v>
      </c>
      <c r="D84" s="14" t="s">
        <v>15</v>
      </c>
      <c r="E84" s="14">
        <v>5</v>
      </c>
      <c r="F84" s="14">
        <v>91</v>
      </c>
      <c r="G84" s="14">
        <v>87</v>
      </c>
      <c r="H84" s="14">
        <v>89</v>
      </c>
      <c r="I84" s="14">
        <v>90</v>
      </c>
      <c r="J84" s="14" t="s">
        <v>13</v>
      </c>
      <c r="K84" s="14">
        <v>6</v>
      </c>
      <c r="L84" s="14">
        <v>2</v>
      </c>
      <c r="M84" s="15">
        <f t="shared" si="9"/>
        <v>266</v>
      </c>
      <c r="N84" s="15">
        <f t="shared" si="10"/>
        <v>88.666666666666671</v>
      </c>
      <c r="O84" s="14" t="str">
        <f t="shared" si="11"/>
        <v>Excellent</v>
      </c>
      <c r="P84" s="15">
        <f t="shared" si="12"/>
        <v>17.733333333333334</v>
      </c>
      <c r="Q84" s="14" t="str">
        <f t="shared" si="13"/>
        <v>No</v>
      </c>
      <c r="R84" s="14" t="str">
        <f t="shared" si="14"/>
        <v>Normal Students</v>
      </c>
      <c r="S84" s="14" t="str">
        <f t="shared" si="15"/>
        <v>Balanced Student</v>
      </c>
      <c r="T84" s="14" t="str">
        <f t="shared" si="16"/>
        <v>High</v>
      </c>
      <c r="U84" s="21" t="str">
        <f t="shared" si="17"/>
        <v>A</v>
      </c>
    </row>
    <row r="85" spans="2:21">
      <c r="B85" s="20">
        <v>82</v>
      </c>
      <c r="C85" s="14" t="s">
        <v>96</v>
      </c>
      <c r="D85" s="14" t="s">
        <v>12</v>
      </c>
      <c r="E85" s="14">
        <v>2</v>
      </c>
      <c r="F85" s="14">
        <v>68</v>
      </c>
      <c r="G85" s="14">
        <v>60</v>
      </c>
      <c r="H85" s="14">
        <v>58</v>
      </c>
      <c r="I85" s="14">
        <v>63</v>
      </c>
      <c r="J85" s="14" t="s">
        <v>16</v>
      </c>
      <c r="K85" s="14">
        <v>8</v>
      </c>
      <c r="L85" s="14">
        <v>5</v>
      </c>
      <c r="M85" s="15">
        <f t="shared" si="9"/>
        <v>181</v>
      </c>
      <c r="N85" s="15">
        <f t="shared" si="10"/>
        <v>60.333333333333336</v>
      </c>
      <c r="O85" s="14" t="str">
        <f t="shared" si="11"/>
        <v>Good</v>
      </c>
      <c r="P85" s="15">
        <f t="shared" si="12"/>
        <v>30.166666666666668</v>
      </c>
      <c r="Q85" s="14" t="str">
        <f t="shared" si="13"/>
        <v>No</v>
      </c>
      <c r="R85" s="14" t="str">
        <f t="shared" si="14"/>
        <v>Normal Students</v>
      </c>
      <c r="S85" s="14" t="str">
        <f t="shared" si="15"/>
        <v>Unbalanced Student</v>
      </c>
      <c r="T85" s="14" t="str">
        <f t="shared" si="16"/>
        <v>Medium</v>
      </c>
      <c r="U85" s="21" t="str">
        <f t="shared" si="17"/>
        <v>C</v>
      </c>
    </row>
    <row r="86" spans="2:21">
      <c r="B86" s="20">
        <v>83</v>
      </c>
      <c r="C86" s="14" t="s">
        <v>97</v>
      </c>
      <c r="D86" s="14" t="s">
        <v>12</v>
      </c>
      <c r="E86" s="14">
        <v>6</v>
      </c>
      <c r="F86" s="14">
        <v>94</v>
      </c>
      <c r="G86" s="14">
        <v>92</v>
      </c>
      <c r="H86" s="14">
        <v>91</v>
      </c>
      <c r="I86" s="14">
        <v>95</v>
      </c>
      <c r="J86" s="14" t="s">
        <v>16</v>
      </c>
      <c r="K86" s="14">
        <v>6</v>
      </c>
      <c r="L86" s="14">
        <v>2</v>
      </c>
      <c r="M86" s="15">
        <f t="shared" si="9"/>
        <v>278</v>
      </c>
      <c r="N86" s="15">
        <f t="shared" si="10"/>
        <v>92.666666666666671</v>
      </c>
      <c r="O86" s="14" t="str">
        <f t="shared" si="11"/>
        <v>Excellent</v>
      </c>
      <c r="P86" s="15">
        <f t="shared" si="12"/>
        <v>15.444444444444445</v>
      </c>
      <c r="Q86" s="14" t="str">
        <f t="shared" si="13"/>
        <v>No</v>
      </c>
      <c r="R86" s="14" t="str">
        <f t="shared" si="14"/>
        <v>Normal Students</v>
      </c>
      <c r="S86" s="14" t="str">
        <f t="shared" si="15"/>
        <v>Balanced Student</v>
      </c>
      <c r="T86" s="14" t="str">
        <f t="shared" si="16"/>
        <v>High</v>
      </c>
      <c r="U86" s="21" t="str">
        <f t="shared" si="17"/>
        <v>A</v>
      </c>
    </row>
    <row r="87" spans="2:21">
      <c r="B87" s="20">
        <v>84</v>
      </c>
      <c r="C87" s="14" t="s">
        <v>98</v>
      </c>
      <c r="D87" s="14" t="s">
        <v>15</v>
      </c>
      <c r="E87" s="14">
        <v>3</v>
      </c>
      <c r="F87" s="14">
        <v>78</v>
      </c>
      <c r="G87" s="14">
        <v>72</v>
      </c>
      <c r="H87" s="14">
        <v>70</v>
      </c>
      <c r="I87" s="14">
        <v>75</v>
      </c>
      <c r="J87" s="14" t="s">
        <v>13</v>
      </c>
      <c r="K87" s="14">
        <v>7</v>
      </c>
      <c r="L87" s="14">
        <v>4</v>
      </c>
      <c r="M87" s="15">
        <f t="shared" si="9"/>
        <v>217</v>
      </c>
      <c r="N87" s="15">
        <f t="shared" si="10"/>
        <v>72.333333333333329</v>
      </c>
      <c r="O87" s="14" t="str">
        <f t="shared" si="11"/>
        <v>Good</v>
      </c>
      <c r="P87" s="15">
        <f t="shared" si="12"/>
        <v>24.111111111111111</v>
      </c>
      <c r="Q87" s="14" t="str">
        <f t="shared" si="13"/>
        <v>No</v>
      </c>
      <c r="R87" s="14" t="str">
        <f t="shared" si="14"/>
        <v>Normal Students</v>
      </c>
      <c r="S87" s="14" t="str">
        <f t="shared" si="15"/>
        <v>Unbalanced Student</v>
      </c>
      <c r="T87" s="14" t="str">
        <f t="shared" si="16"/>
        <v>Medium</v>
      </c>
      <c r="U87" s="21" t="str">
        <f t="shared" si="17"/>
        <v>B</v>
      </c>
    </row>
    <row r="88" spans="2:21">
      <c r="B88" s="20">
        <v>85</v>
      </c>
      <c r="C88" s="14" t="s">
        <v>99</v>
      </c>
      <c r="D88" s="14" t="s">
        <v>12</v>
      </c>
      <c r="E88" s="14">
        <v>4</v>
      </c>
      <c r="F88" s="14">
        <v>85</v>
      </c>
      <c r="G88" s="14">
        <v>80</v>
      </c>
      <c r="H88" s="14">
        <v>82</v>
      </c>
      <c r="I88" s="14">
        <v>84</v>
      </c>
      <c r="J88" s="14" t="s">
        <v>13</v>
      </c>
      <c r="K88" s="14">
        <v>7</v>
      </c>
      <c r="L88" s="14">
        <v>3</v>
      </c>
      <c r="M88" s="15">
        <f t="shared" si="9"/>
        <v>246</v>
      </c>
      <c r="N88" s="15">
        <f t="shared" si="10"/>
        <v>82</v>
      </c>
      <c r="O88" s="14" t="str">
        <f t="shared" si="11"/>
        <v>Excellent</v>
      </c>
      <c r="P88" s="15">
        <f t="shared" si="12"/>
        <v>20.5</v>
      </c>
      <c r="Q88" s="14" t="str">
        <f t="shared" si="13"/>
        <v>No</v>
      </c>
      <c r="R88" s="14" t="str">
        <f t="shared" si="14"/>
        <v>Normal Students</v>
      </c>
      <c r="S88" s="14" t="str">
        <f t="shared" si="15"/>
        <v>Balanced Student</v>
      </c>
      <c r="T88" s="14" t="str">
        <f t="shared" si="16"/>
        <v>High</v>
      </c>
      <c r="U88" s="21" t="str">
        <f t="shared" si="17"/>
        <v>A</v>
      </c>
    </row>
    <row r="89" spans="2:21">
      <c r="B89" s="20">
        <v>86</v>
      </c>
      <c r="C89" s="14" t="s">
        <v>100</v>
      </c>
      <c r="D89" s="14" t="s">
        <v>15</v>
      </c>
      <c r="E89" s="14">
        <v>5</v>
      </c>
      <c r="F89" s="14">
        <v>90</v>
      </c>
      <c r="G89" s="14">
        <v>86</v>
      </c>
      <c r="H89" s="14">
        <v>88</v>
      </c>
      <c r="I89" s="14">
        <v>89</v>
      </c>
      <c r="J89" s="14" t="s">
        <v>13</v>
      </c>
      <c r="K89" s="14">
        <v>6</v>
      </c>
      <c r="L89" s="14">
        <v>2</v>
      </c>
      <c r="M89" s="15">
        <f t="shared" si="9"/>
        <v>263</v>
      </c>
      <c r="N89" s="15">
        <f t="shared" si="10"/>
        <v>87.666666666666671</v>
      </c>
      <c r="O89" s="14" t="str">
        <f t="shared" si="11"/>
        <v>Excellent</v>
      </c>
      <c r="P89" s="15">
        <f t="shared" si="12"/>
        <v>17.533333333333335</v>
      </c>
      <c r="Q89" s="14" t="str">
        <f t="shared" si="13"/>
        <v>No</v>
      </c>
      <c r="R89" s="14" t="str">
        <f t="shared" si="14"/>
        <v>Normal Students</v>
      </c>
      <c r="S89" s="14" t="str">
        <f t="shared" si="15"/>
        <v>Balanced Student</v>
      </c>
      <c r="T89" s="14" t="str">
        <f t="shared" si="16"/>
        <v>High</v>
      </c>
      <c r="U89" s="21" t="str">
        <f t="shared" si="17"/>
        <v>A</v>
      </c>
    </row>
    <row r="90" spans="2:21">
      <c r="B90" s="20">
        <v>87</v>
      </c>
      <c r="C90" s="14" t="s">
        <v>101</v>
      </c>
      <c r="D90" s="14" t="s">
        <v>12</v>
      </c>
      <c r="E90" s="14">
        <v>2</v>
      </c>
      <c r="F90" s="14">
        <v>70</v>
      </c>
      <c r="G90" s="14">
        <v>62</v>
      </c>
      <c r="H90" s="14">
        <v>60</v>
      </c>
      <c r="I90" s="14">
        <v>66</v>
      </c>
      <c r="J90" s="14" t="s">
        <v>16</v>
      </c>
      <c r="K90" s="14">
        <v>8</v>
      </c>
      <c r="L90" s="14">
        <v>5</v>
      </c>
      <c r="M90" s="15">
        <f t="shared" si="9"/>
        <v>188</v>
      </c>
      <c r="N90" s="15">
        <f t="shared" si="10"/>
        <v>62.666666666666664</v>
      </c>
      <c r="O90" s="14" t="str">
        <f t="shared" si="11"/>
        <v>Good</v>
      </c>
      <c r="P90" s="15">
        <f t="shared" si="12"/>
        <v>31.333333333333332</v>
      </c>
      <c r="Q90" s="14" t="str">
        <f t="shared" si="13"/>
        <v>No</v>
      </c>
      <c r="R90" s="14" t="str">
        <f t="shared" si="14"/>
        <v>Normal Students</v>
      </c>
      <c r="S90" s="14" t="str">
        <f t="shared" si="15"/>
        <v>Unbalanced Student</v>
      </c>
      <c r="T90" s="14" t="str">
        <f t="shared" si="16"/>
        <v>Medium</v>
      </c>
      <c r="U90" s="21" t="str">
        <f t="shared" si="17"/>
        <v>C</v>
      </c>
    </row>
    <row r="91" spans="2:21">
      <c r="B91" s="20">
        <v>88</v>
      </c>
      <c r="C91" s="14" t="s">
        <v>102</v>
      </c>
      <c r="D91" s="14" t="s">
        <v>15</v>
      </c>
      <c r="E91" s="14">
        <v>4</v>
      </c>
      <c r="F91" s="14">
        <v>88</v>
      </c>
      <c r="G91" s="14">
        <v>84</v>
      </c>
      <c r="H91" s="14">
        <v>83</v>
      </c>
      <c r="I91" s="14">
        <v>86</v>
      </c>
      <c r="J91" s="14" t="s">
        <v>13</v>
      </c>
      <c r="K91" s="14">
        <v>7</v>
      </c>
      <c r="L91" s="14">
        <v>3</v>
      </c>
      <c r="M91" s="15">
        <f t="shared" si="9"/>
        <v>253</v>
      </c>
      <c r="N91" s="15">
        <f t="shared" si="10"/>
        <v>84.333333333333329</v>
      </c>
      <c r="O91" s="14" t="str">
        <f t="shared" si="11"/>
        <v>Excellent</v>
      </c>
      <c r="P91" s="15">
        <f t="shared" si="12"/>
        <v>21.083333333333332</v>
      </c>
      <c r="Q91" s="14" t="str">
        <f t="shared" si="13"/>
        <v>No</v>
      </c>
      <c r="R91" s="14" t="str">
        <f t="shared" si="14"/>
        <v>Normal Students</v>
      </c>
      <c r="S91" s="14" t="str">
        <f t="shared" si="15"/>
        <v>Balanced Student</v>
      </c>
      <c r="T91" s="14" t="str">
        <f t="shared" si="16"/>
        <v>High</v>
      </c>
      <c r="U91" s="21" t="str">
        <f t="shared" si="17"/>
        <v>A</v>
      </c>
    </row>
    <row r="92" spans="2:21">
      <c r="B92" s="20">
        <v>89</v>
      </c>
      <c r="C92" s="14" t="s">
        <v>103</v>
      </c>
      <c r="D92" s="14" t="s">
        <v>12</v>
      </c>
      <c r="E92" s="14">
        <v>3</v>
      </c>
      <c r="F92" s="14">
        <v>82</v>
      </c>
      <c r="G92" s="14">
        <v>76</v>
      </c>
      <c r="H92" s="14">
        <v>75</v>
      </c>
      <c r="I92" s="14">
        <v>80</v>
      </c>
      <c r="J92" s="14" t="s">
        <v>16</v>
      </c>
      <c r="K92" s="14">
        <v>7</v>
      </c>
      <c r="L92" s="14">
        <v>4</v>
      </c>
      <c r="M92" s="15">
        <f t="shared" si="9"/>
        <v>231</v>
      </c>
      <c r="N92" s="15">
        <f t="shared" si="10"/>
        <v>77</v>
      </c>
      <c r="O92" s="14" t="str">
        <f t="shared" si="11"/>
        <v>Good</v>
      </c>
      <c r="P92" s="15">
        <f t="shared" si="12"/>
        <v>25.666666666666668</v>
      </c>
      <c r="Q92" s="14" t="str">
        <f t="shared" si="13"/>
        <v>No</v>
      </c>
      <c r="R92" s="14" t="str">
        <f t="shared" si="14"/>
        <v>Normal Students</v>
      </c>
      <c r="S92" s="14" t="str">
        <f t="shared" si="15"/>
        <v>Unbalanced Student</v>
      </c>
      <c r="T92" s="14" t="str">
        <f t="shared" si="16"/>
        <v>High</v>
      </c>
      <c r="U92" s="21" t="str">
        <f t="shared" si="17"/>
        <v>B</v>
      </c>
    </row>
    <row r="93" spans="2:21">
      <c r="B93" s="20">
        <v>90</v>
      </c>
      <c r="C93" s="14" t="s">
        <v>104</v>
      </c>
      <c r="D93" s="14" t="s">
        <v>15</v>
      </c>
      <c r="E93" s="14">
        <v>5</v>
      </c>
      <c r="F93" s="14">
        <v>91</v>
      </c>
      <c r="G93" s="14">
        <v>87</v>
      </c>
      <c r="H93" s="14">
        <v>88</v>
      </c>
      <c r="I93" s="14">
        <v>90</v>
      </c>
      <c r="J93" s="14" t="s">
        <v>13</v>
      </c>
      <c r="K93" s="14">
        <v>6</v>
      </c>
      <c r="L93" s="14">
        <v>2</v>
      </c>
      <c r="M93" s="15">
        <f t="shared" si="9"/>
        <v>265</v>
      </c>
      <c r="N93" s="15">
        <f t="shared" si="10"/>
        <v>88.333333333333329</v>
      </c>
      <c r="O93" s="14" t="str">
        <f t="shared" si="11"/>
        <v>Excellent</v>
      </c>
      <c r="P93" s="15">
        <f t="shared" si="12"/>
        <v>17.666666666666664</v>
      </c>
      <c r="Q93" s="14" t="str">
        <f t="shared" si="13"/>
        <v>No</v>
      </c>
      <c r="R93" s="14" t="str">
        <f t="shared" si="14"/>
        <v>Normal Students</v>
      </c>
      <c r="S93" s="14" t="str">
        <f t="shared" si="15"/>
        <v>Balanced Student</v>
      </c>
      <c r="T93" s="14" t="str">
        <f t="shared" si="16"/>
        <v>High</v>
      </c>
      <c r="U93" s="21" t="str">
        <f t="shared" si="17"/>
        <v>A</v>
      </c>
    </row>
    <row r="94" spans="2:21">
      <c r="B94" s="20">
        <v>91</v>
      </c>
      <c r="C94" s="14" t="s">
        <v>105</v>
      </c>
      <c r="D94" s="14" t="s">
        <v>12</v>
      </c>
      <c r="E94" s="14">
        <v>2</v>
      </c>
      <c r="F94" s="14">
        <v>68</v>
      </c>
      <c r="G94" s="14">
        <v>60</v>
      </c>
      <c r="H94" s="14">
        <v>58</v>
      </c>
      <c r="I94" s="14">
        <v>64</v>
      </c>
      <c r="J94" s="14" t="s">
        <v>16</v>
      </c>
      <c r="K94" s="14">
        <v>8</v>
      </c>
      <c r="L94" s="14">
        <v>5</v>
      </c>
      <c r="M94" s="15">
        <f t="shared" si="9"/>
        <v>182</v>
      </c>
      <c r="N94" s="15">
        <f t="shared" si="10"/>
        <v>60.666666666666664</v>
      </c>
      <c r="O94" s="14" t="str">
        <f t="shared" si="11"/>
        <v>Good</v>
      </c>
      <c r="P94" s="15">
        <f t="shared" si="12"/>
        <v>30.333333333333332</v>
      </c>
      <c r="Q94" s="14" t="str">
        <f t="shared" si="13"/>
        <v>No</v>
      </c>
      <c r="R94" s="14" t="str">
        <f t="shared" si="14"/>
        <v>Normal Students</v>
      </c>
      <c r="S94" s="14" t="str">
        <f t="shared" si="15"/>
        <v>Unbalanced Student</v>
      </c>
      <c r="T94" s="14" t="str">
        <f t="shared" si="16"/>
        <v>Medium</v>
      </c>
      <c r="U94" s="21" t="str">
        <f t="shared" si="17"/>
        <v>C</v>
      </c>
    </row>
    <row r="95" spans="2:21">
      <c r="B95" s="20">
        <v>92</v>
      </c>
      <c r="C95" s="14" t="s">
        <v>106</v>
      </c>
      <c r="D95" s="14" t="s">
        <v>15</v>
      </c>
      <c r="E95" s="14">
        <v>4</v>
      </c>
      <c r="F95" s="14">
        <v>85</v>
      </c>
      <c r="G95" s="14">
        <v>81</v>
      </c>
      <c r="H95" s="14">
        <v>82</v>
      </c>
      <c r="I95" s="14">
        <v>84</v>
      </c>
      <c r="J95" s="14" t="s">
        <v>13</v>
      </c>
      <c r="K95" s="14">
        <v>7</v>
      </c>
      <c r="L95" s="14">
        <v>3</v>
      </c>
      <c r="M95" s="15">
        <f t="shared" si="9"/>
        <v>247</v>
      </c>
      <c r="N95" s="15">
        <f t="shared" si="10"/>
        <v>82.333333333333329</v>
      </c>
      <c r="O95" s="14" t="str">
        <f t="shared" si="11"/>
        <v>Excellent</v>
      </c>
      <c r="P95" s="15">
        <f t="shared" si="12"/>
        <v>20.583333333333332</v>
      </c>
      <c r="Q95" s="14" t="str">
        <f t="shared" si="13"/>
        <v>No</v>
      </c>
      <c r="R95" s="14" t="str">
        <f t="shared" si="14"/>
        <v>Normal Students</v>
      </c>
      <c r="S95" s="14" t="str">
        <f t="shared" si="15"/>
        <v>Balanced Student</v>
      </c>
      <c r="T95" s="14" t="str">
        <f t="shared" si="16"/>
        <v>High</v>
      </c>
      <c r="U95" s="21" t="str">
        <f t="shared" si="17"/>
        <v>A</v>
      </c>
    </row>
    <row r="96" spans="2:21">
      <c r="B96" s="20">
        <v>93</v>
      </c>
      <c r="C96" s="14" t="s">
        <v>107</v>
      </c>
      <c r="D96" s="14" t="s">
        <v>12</v>
      </c>
      <c r="E96" s="14">
        <v>6</v>
      </c>
      <c r="F96" s="14">
        <v>94</v>
      </c>
      <c r="G96" s="14">
        <v>91</v>
      </c>
      <c r="H96" s="14">
        <v>90</v>
      </c>
      <c r="I96" s="14">
        <v>92</v>
      </c>
      <c r="J96" s="14" t="s">
        <v>16</v>
      </c>
      <c r="K96" s="14">
        <v>6</v>
      </c>
      <c r="L96" s="14">
        <v>2</v>
      </c>
      <c r="M96" s="15">
        <f t="shared" si="9"/>
        <v>273</v>
      </c>
      <c r="N96" s="15">
        <f t="shared" si="10"/>
        <v>91</v>
      </c>
      <c r="O96" s="14" t="str">
        <f t="shared" si="11"/>
        <v>Excellent</v>
      </c>
      <c r="P96" s="15">
        <f t="shared" si="12"/>
        <v>15.166666666666666</v>
      </c>
      <c r="Q96" s="14" t="str">
        <f t="shared" si="13"/>
        <v>No</v>
      </c>
      <c r="R96" s="14" t="str">
        <f t="shared" si="14"/>
        <v>Normal Students</v>
      </c>
      <c r="S96" s="14" t="str">
        <f t="shared" si="15"/>
        <v>Balanced Student</v>
      </c>
      <c r="T96" s="14" t="str">
        <f t="shared" si="16"/>
        <v>High</v>
      </c>
      <c r="U96" s="21" t="str">
        <f t="shared" si="17"/>
        <v>A</v>
      </c>
    </row>
    <row r="97" spans="2:21">
      <c r="B97" s="20">
        <v>94</v>
      </c>
      <c r="C97" s="14" t="s">
        <v>108</v>
      </c>
      <c r="D97" s="14" t="s">
        <v>15</v>
      </c>
      <c r="E97" s="14">
        <v>3</v>
      </c>
      <c r="F97" s="14">
        <v>79</v>
      </c>
      <c r="G97" s="14">
        <v>74</v>
      </c>
      <c r="H97" s="14">
        <v>72</v>
      </c>
      <c r="I97" s="14">
        <v>77</v>
      </c>
      <c r="J97" s="14" t="s">
        <v>13</v>
      </c>
      <c r="K97" s="14">
        <v>7</v>
      </c>
      <c r="L97" s="14">
        <v>4</v>
      </c>
      <c r="M97" s="15">
        <f t="shared" si="9"/>
        <v>223</v>
      </c>
      <c r="N97" s="15">
        <f t="shared" si="10"/>
        <v>74.333333333333329</v>
      </c>
      <c r="O97" s="14" t="str">
        <f t="shared" si="11"/>
        <v>Good</v>
      </c>
      <c r="P97" s="15">
        <f t="shared" si="12"/>
        <v>24.777777777777775</v>
      </c>
      <c r="Q97" s="14" t="str">
        <f t="shared" si="13"/>
        <v>No</v>
      </c>
      <c r="R97" s="14" t="str">
        <f t="shared" si="14"/>
        <v>Normal Students</v>
      </c>
      <c r="S97" s="14" t="str">
        <f t="shared" si="15"/>
        <v>Unbalanced Student</v>
      </c>
      <c r="T97" s="14" t="str">
        <f t="shared" si="16"/>
        <v>Medium</v>
      </c>
      <c r="U97" s="21" t="str">
        <f t="shared" si="17"/>
        <v>B</v>
      </c>
    </row>
    <row r="98" spans="2:21">
      <c r="B98" s="20">
        <v>95</v>
      </c>
      <c r="C98" s="14" t="s">
        <v>109</v>
      </c>
      <c r="D98" s="14" t="s">
        <v>12</v>
      </c>
      <c r="E98" s="14">
        <v>2</v>
      </c>
      <c r="F98" s="14">
        <v>72</v>
      </c>
      <c r="G98" s="14">
        <v>65</v>
      </c>
      <c r="H98" s="14">
        <v>64</v>
      </c>
      <c r="I98" s="14">
        <v>68</v>
      </c>
      <c r="J98" s="14" t="s">
        <v>16</v>
      </c>
      <c r="K98" s="14">
        <v>8</v>
      </c>
      <c r="L98" s="14">
        <v>5</v>
      </c>
      <c r="M98" s="15">
        <f t="shared" si="9"/>
        <v>197</v>
      </c>
      <c r="N98" s="15">
        <f t="shared" si="10"/>
        <v>65.666666666666671</v>
      </c>
      <c r="O98" s="14" t="str">
        <f t="shared" si="11"/>
        <v>Good</v>
      </c>
      <c r="P98" s="15">
        <f t="shared" si="12"/>
        <v>32.833333333333336</v>
      </c>
      <c r="Q98" s="14" t="str">
        <f t="shared" si="13"/>
        <v>No</v>
      </c>
      <c r="R98" s="14" t="str">
        <f t="shared" si="14"/>
        <v>Normal Students</v>
      </c>
      <c r="S98" s="14" t="str">
        <f t="shared" si="15"/>
        <v>Unbalanced Student</v>
      </c>
      <c r="T98" s="14" t="str">
        <f t="shared" si="16"/>
        <v>Medium</v>
      </c>
      <c r="U98" s="21" t="str">
        <f t="shared" si="17"/>
        <v>C</v>
      </c>
    </row>
    <row r="99" spans="2:21">
      <c r="B99" s="20">
        <v>96</v>
      </c>
      <c r="C99" s="14" t="s">
        <v>110</v>
      </c>
      <c r="D99" s="14" t="s">
        <v>15</v>
      </c>
      <c r="E99" s="14">
        <v>5</v>
      </c>
      <c r="F99" s="14">
        <v>90</v>
      </c>
      <c r="G99" s="14">
        <v>86</v>
      </c>
      <c r="H99" s="14">
        <v>88</v>
      </c>
      <c r="I99" s="14">
        <v>89</v>
      </c>
      <c r="J99" s="14" t="s">
        <v>13</v>
      </c>
      <c r="K99" s="14">
        <v>6</v>
      </c>
      <c r="L99" s="14">
        <v>2</v>
      </c>
      <c r="M99" s="15">
        <f t="shared" si="9"/>
        <v>263</v>
      </c>
      <c r="N99" s="15">
        <f t="shared" si="10"/>
        <v>87.666666666666671</v>
      </c>
      <c r="O99" s="14" t="str">
        <f t="shared" si="11"/>
        <v>Excellent</v>
      </c>
      <c r="P99" s="15">
        <f t="shared" si="12"/>
        <v>17.533333333333335</v>
      </c>
      <c r="Q99" s="14" t="str">
        <f t="shared" si="13"/>
        <v>No</v>
      </c>
      <c r="R99" s="14" t="str">
        <f t="shared" si="14"/>
        <v>Normal Students</v>
      </c>
      <c r="S99" s="14" t="str">
        <f t="shared" si="15"/>
        <v>Balanced Student</v>
      </c>
      <c r="T99" s="14" t="str">
        <f t="shared" si="16"/>
        <v>High</v>
      </c>
      <c r="U99" s="21" t="str">
        <f t="shared" si="17"/>
        <v>A</v>
      </c>
    </row>
    <row r="100" spans="2:21">
      <c r="B100" s="20">
        <v>97</v>
      </c>
      <c r="C100" s="14" t="s">
        <v>111</v>
      </c>
      <c r="D100" s="14" t="s">
        <v>12</v>
      </c>
      <c r="E100" s="14">
        <v>3</v>
      </c>
      <c r="F100" s="14">
        <v>80</v>
      </c>
      <c r="G100" s="14">
        <v>75</v>
      </c>
      <c r="H100" s="14">
        <v>73</v>
      </c>
      <c r="I100" s="14">
        <v>78</v>
      </c>
      <c r="J100" s="14" t="s">
        <v>13</v>
      </c>
      <c r="K100" s="14">
        <v>7</v>
      </c>
      <c r="L100" s="14">
        <v>4</v>
      </c>
      <c r="M100" s="15">
        <f t="shared" si="9"/>
        <v>226</v>
      </c>
      <c r="N100" s="15">
        <f t="shared" si="10"/>
        <v>75.333333333333329</v>
      </c>
      <c r="O100" s="14" t="str">
        <f t="shared" si="11"/>
        <v>Good</v>
      </c>
      <c r="P100" s="15">
        <f t="shared" si="12"/>
        <v>25.111111111111111</v>
      </c>
      <c r="Q100" s="14" t="str">
        <f t="shared" si="13"/>
        <v>No</v>
      </c>
      <c r="R100" s="14" t="str">
        <f t="shared" si="14"/>
        <v>Normal Students</v>
      </c>
      <c r="S100" s="14" t="str">
        <f t="shared" si="15"/>
        <v>Unbalanced Student</v>
      </c>
      <c r="T100" s="14" t="str">
        <f t="shared" si="16"/>
        <v>High</v>
      </c>
      <c r="U100" s="21" t="str">
        <f t="shared" si="17"/>
        <v>B</v>
      </c>
    </row>
    <row r="101" spans="2:21">
      <c r="B101" s="20">
        <v>98</v>
      </c>
      <c r="C101" s="14" t="s">
        <v>112</v>
      </c>
      <c r="D101" s="14" t="s">
        <v>15</v>
      </c>
      <c r="E101" s="14">
        <v>4</v>
      </c>
      <c r="F101" s="14">
        <v>87</v>
      </c>
      <c r="G101" s="14">
        <v>83</v>
      </c>
      <c r="H101" s="14">
        <v>81</v>
      </c>
      <c r="I101" s="14">
        <v>85</v>
      </c>
      <c r="J101" s="14" t="s">
        <v>16</v>
      </c>
      <c r="K101" s="14">
        <v>6</v>
      </c>
      <c r="L101" s="14">
        <v>3</v>
      </c>
      <c r="M101" s="15">
        <f t="shared" si="9"/>
        <v>249</v>
      </c>
      <c r="N101" s="15">
        <f t="shared" si="10"/>
        <v>83</v>
      </c>
      <c r="O101" s="14" t="str">
        <f t="shared" si="11"/>
        <v>Excellent</v>
      </c>
      <c r="P101" s="15">
        <f t="shared" si="12"/>
        <v>20.75</v>
      </c>
      <c r="Q101" s="14" t="str">
        <f t="shared" si="13"/>
        <v>No</v>
      </c>
      <c r="R101" s="14" t="str">
        <f t="shared" si="14"/>
        <v>Normal Students</v>
      </c>
      <c r="S101" s="14" t="str">
        <f t="shared" si="15"/>
        <v>Balanced Student</v>
      </c>
      <c r="T101" s="14" t="str">
        <f t="shared" si="16"/>
        <v>High</v>
      </c>
      <c r="U101" s="21" t="str">
        <f t="shared" si="17"/>
        <v>A</v>
      </c>
    </row>
    <row r="102" spans="2:21">
      <c r="B102" s="20">
        <v>99</v>
      </c>
      <c r="C102" s="14" t="s">
        <v>113</v>
      </c>
      <c r="D102" s="14" t="s">
        <v>12</v>
      </c>
      <c r="E102" s="14">
        <v>1</v>
      </c>
      <c r="F102" s="14">
        <v>62</v>
      </c>
      <c r="G102" s="14">
        <v>52</v>
      </c>
      <c r="H102" s="14">
        <v>50</v>
      </c>
      <c r="I102" s="14">
        <v>57</v>
      </c>
      <c r="J102" s="14" t="s">
        <v>16</v>
      </c>
      <c r="K102" s="14">
        <v>8</v>
      </c>
      <c r="L102" s="14">
        <v>6</v>
      </c>
      <c r="M102" s="15">
        <f t="shared" si="9"/>
        <v>159</v>
      </c>
      <c r="N102" s="15">
        <f t="shared" si="10"/>
        <v>53</v>
      </c>
      <c r="O102" s="14" t="str">
        <f t="shared" si="11"/>
        <v>Needs Improvement</v>
      </c>
      <c r="P102" s="15">
        <f t="shared" si="12"/>
        <v>53</v>
      </c>
      <c r="Q102" s="14" t="str">
        <f t="shared" si="13"/>
        <v>Yes</v>
      </c>
      <c r="R102" s="14" t="str">
        <f t="shared" si="14"/>
        <v>Normal Students</v>
      </c>
      <c r="S102" s="14" t="str">
        <f t="shared" si="15"/>
        <v>Unbalanced Student</v>
      </c>
      <c r="T102" s="14" t="str">
        <f t="shared" si="16"/>
        <v>Medium</v>
      </c>
      <c r="U102" s="21" t="str">
        <f t="shared" si="17"/>
        <v>D</v>
      </c>
    </row>
    <row r="103" spans="2:21">
      <c r="B103" s="20">
        <v>100</v>
      </c>
      <c r="C103" s="14" t="s">
        <v>114</v>
      </c>
      <c r="D103" s="14" t="s">
        <v>15</v>
      </c>
      <c r="E103" s="14">
        <v>5</v>
      </c>
      <c r="F103" s="14">
        <v>92</v>
      </c>
      <c r="G103" s="14">
        <v>89</v>
      </c>
      <c r="H103" s="14">
        <v>90</v>
      </c>
      <c r="I103" s="14">
        <v>93</v>
      </c>
      <c r="J103" s="14" t="s">
        <v>13</v>
      </c>
      <c r="K103" s="14">
        <v>6</v>
      </c>
      <c r="L103" s="14">
        <v>2</v>
      </c>
      <c r="M103" s="15">
        <f t="shared" si="9"/>
        <v>272</v>
      </c>
      <c r="N103" s="15">
        <f t="shared" si="10"/>
        <v>90.666666666666671</v>
      </c>
      <c r="O103" s="14" t="str">
        <f t="shared" si="11"/>
        <v>Excellent</v>
      </c>
      <c r="P103" s="15">
        <f t="shared" si="12"/>
        <v>18.133333333333333</v>
      </c>
      <c r="Q103" s="14" t="str">
        <f t="shared" si="13"/>
        <v>No</v>
      </c>
      <c r="R103" s="14" t="str">
        <f t="shared" si="14"/>
        <v>Normal Students</v>
      </c>
      <c r="S103" s="14" t="str">
        <f t="shared" si="15"/>
        <v>Balanced Student</v>
      </c>
      <c r="T103" s="14" t="str">
        <f t="shared" si="16"/>
        <v>High</v>
      </c>
      <c r="U103" s="21" t="str">
        <f t="shared" si="17"/>
        <v>A</v>
      </c>
    </row>
    <row r="104" spans="2:21">
      <c r="B104" s="20">
        <v>101</v>
      </c>
      <c r="C104" s="14" t="s">
        <v>65</v>
      </c>
      <c r="D104" s="14" t="s">
        <v>66</v>
      </c>
      <c r="E104" s="14">
        <v>3</v>
      </c>
      <c r="F104" s="14">
        <v>85</v>
      </c>
      <c r="G104" s="14">
        <v>78</v>
      </c>
      <c r="H104" s="14">
        <v>72</v>
      </c>
      <c r="I104" s="14">
        <v>80</v>
      </c>
      <c r="J104" s="14" t="s">
        <v>67</v>
      </c>
      <c r="K104" s="14">
        <v>7</v>
      </c>
      <c r="L104" s="14">
        <v>3</v>
      </c>
      <c r="M104" s="15">
        <f t="shared" si="9"/>
        <v>230</v>
      </c>
      <c r="N104" s="15">
        <f t="shared" si="10"/>
        <v>76.666666666666671</v>
      </c>
      <c r="O104" s="14" t="str">
        <f t="shared" si="11"/>
        <v>Good</v>
      </c>
      <c r="P104" s="15">
        <f t="shared" si="12"/>
        <v>25.555555555555557</v>
      </c>
      <c r="Q104" s="14" t="str">
        <f t="shared" si="13"/>
        <v>No</v>
      </c>
      <c r="R104" s="14" t="str">
        <f t="shared" si="14"/>
        <v>Normal Students</v>
      </c>
      <c r="S104" s="14" t="str">
        <f t="shared" si="15"/>
        <v>Unbalanced Student</v>
      </c>
      <c r="T104" s="14" t="str">
        <f t="shared" si="16"/>
        <v>High</v>
      </c>
      <c r="U104" s="21" t="str">
        <f t="shared" si="17"/>
        <v>B</v>
      </c>
    </row>
    <row r="105" spans="2:21">
      <c r="B105" s="20">
        <v>102</v>
      </c>
      <c r="C105" s="14" t="s">
        <v>115</v>
      </c>
      <c r="D105" s="14" t="s">
        <v>69</v>
      </c>
      <c r="E105" s="14">
        <v>4</v>
      </c>
      <c r="F105" s="14">
        <v>88</v>
      </c>
      <c r="G105" s="14">
        <v>82</v>
      </c>
      <c r="H105" s="14">
        <v>79</v>
      </c>
      <c r="I105" s="14">
        <v>85</v>
      </c>
      <c r="J105" s="14" t="s">
        <v>70</v>
      </c>
      <c r="K105" s="14">
        <v>7</v>
      </c>
      <c r="L105" s="14">
        <v>3</v>
      </c>
      <c r="M105" s="15">
        <f t="shared" si="9"/>
        <v>246</v>
      </c>
      <c r="N105" s="15">
        <f t="shared" si="10"/>
        <v>82</v>
      </c>
      <c r="O105" s="14" t="str">
        <f t="shared" si="11"/>
        <v>Excellent</v>
      </c>
      <c r="P105" s="15">
        <f t="shared" si="12"/>
        <v>20.5</v>
      </c>
      <c r="Q105" s="14" t="str">
        <f t="shared" si="13"/>
        <v>No</v>
      </c>
      <c r="R105" s="14" t="str">
        <f t="shared" si="14"/>
        <v>Normal Students</v>
      </c>
      <c r="S105" s="14" t="str">
        <f t="shared" si="15"/>
        <v>Balanced Student</v>
      </c>
      <c r="T105" s="14" t="str">
        <f t="shared" si="16"/>
        <v>High</v>
      </c>
      <c r="U105" s="21" t="str">
        <f t="shared" si="17"/>
        <v>A</v>
      </c>
    </row>
    <row r="106" spans="2:21">
      <c r="B106" s="20">
        <v>103</v>
      </c>
      <c r="C106" s="14" t="s">
        <v>165</v>
      </c>
      <c r="D106" s="14" t="s">
        <v>15</v>
      </c>
      <c r="E106" s="14">
        <v>5</v>
      </c>
      <c r="F106" s="14">
        <v>90</v>
      </c>
      <c r="G106" s="14">
        <v>85</v>
      </c>
      <c r="H106" s="14">
        <v>87</v>
      </c>
      <c r="I106" s="14">
        <v>89</v>
      </c>
      <c r="J106" s="14" t="s">
        <v>13</v>
      </c>
      <c r="K106" s="14">
        <v>6</v>
      </c>
      <c r="L106" s="14">
        <v>2</v>
      </c>
      <c r="M106" s="15">
        <f t="shared" si="9"/>
        <v>261</v>
      </c>
      <c r="N106" s="15">
        <f t="shared" si="10"/>
        <v>87</v>
      </c>
      <c r="O106" s="14" t="str">
        <f t="shared" si="11"/>
        <v>Excellent</v>
      </c>
      <c r="P106" s="15">
        <f t="shared" si="12"/>
        <v>17.399999999999999</v>
      </c>
      <c r="Q106" s="14" t="str">
        <f t="shared" si="13"/>
        <v>No</v>
      </c>
      <c r="R106" s="14" t="str">
        <f t="shared" si="14"/>
        <v>Normal Students</v>
      </c>
      <c r="S106" s="14" t="str">
        <f t="shared" si="15"/>
        <v>Balanced Student</v>
      </c>
      <c r="T106" s="14" t="str">
        <f t="shared" si="16"/>
        <v>High</v>
      </c>
      <c r="U106" s="21" t="str">
        <f t="shared" si="17"/>
        <v>A</v>
      </c>
    </row>
    <row r="107" spans="2:21">
      <c r="B107" s="20">
        <v>104</v>
      </c>
      <c r="C107" s="14" t="s">
        <v>116</v>
      </c>
      <c r="D107" s="14" t="s">
        <v>12</v>
      </c>
      <c r="E107" s="14">
        <v>4</v>
      </c>
      <c r="F107" s="14">
        <v>86</v>
      </c>
      <c r="G107" s="14">
        <v>82</v>
      </c>
      <c r="H107" s="14">
        <v>80</v>
      </c>
      <c r="I107" s="14">
        <v>84</v>
      </c>
      <c r="J107" s="14" t="s">
        <v>13</v>
      </c>
      <c r="K107" s="14">
        <v>7</v>
      </c>
      <c r="L107" s="14">
        <v>3</v>
      </c>
      <c r="M107" s="15">
        <f t="shared" si="9"/>
        <v>246</v>
      </c>
      <c r="N107" s="15">
        <f t="shared" si="10"/>
        <v>82</v>
      </c>
      <c r="O107" s="14" t="str">
        <f t="shared" si="11"/>
        <v>Excellent</v>
      </c>
      <c r="P107" s="15">
        <f t="shared" si="12"/>
        <v>20.5</v>
      </c>
      <c r="Q107" s="14" t="str">
        <f t="shared" si="13"/>
        <v>No</v>
      </c>
      <c r="R107" s="14" t="str">
        <f t="shared" si="14"/>
        <v>Normal Students</v>
      </c>
      <c r="S107" s="14" t="str">
        <f t="shared" si="15"/>
        <v>Balanced Student</v>
      </c>
      <c r="T107" s="14" t="str">
        <f t="shared" si="16"/>
        <v>High</v>
      </c>
      <c r="U107" s="21" t="str">
        <f t="shared" si="17"/>
        <v>A</v>
      </c>
    </row>
    <row r="108" spans="2:21">
      <c r="B108" s="20">
        <v>105</v>
      </c>
      <c r="C108" s="14" t="s">
        <v>117</v>
      </c>
      <c r="D108" s="14" t="s">
        <v>15</v>
      </c>
      <c r="E108" s="14">
        <v>5</v>
      </c>
      <c r="F108" s="14">
        <v>91</v>
      </c>
      <c r="G108" s="14">
        <v>87</v>
      </c>
      <c r="H108" s="14">
        <v>88</v>
      </c>
      <c r="I108" s="14">
        <v>90</v>
      </c>
      <c r="J108" s="14" t="s">
        <v>13</v>
      </c>
      <c r="K108" s="14">
        <v>6</v>
      </c>
      <c r="L108" s="14">
        <v>2</v>
      </c>
      <c r="M108" s="15">
        <f t="shared" si="9"/>
        <v>265</v>
      </c>
      <c r="N108" s="15">
        <f t="shared" si="10"/>
        <v>88.333333333333329</v>
      </c>
      <c r="O108" s="14" t="str">
        <f t="shared" si="11"/>
        <v>Excellent</v>
      </c>
      <c r="P108" s="15">
        <f t="shared" si="12"/>
        <v>17.666666666666664</v>
      </c>
      <c r="Q108" s="14" t="str">
        <f t="shared" si="13"/>
        <v>No</v>
      </c>
      <c r="R108" s="14" t="str">
        <f t="shared" si="14"/>
        <v>Normal Students</v>
      </c>
      <c r="S108" s="14" t="str">
        <f t="shared" si="15"/>
        <v>Balanced Student</v>
      </c>
      <c r="T108" s="14" t="str">
        <f t="shared" si="16"/>
        <v>High</v>
      </c>
      <c r="U108" s="21" t="str">
        <f t="shared" si="17"/>
        <v>A</v>
      </c>
    </row>
    <row r="109" spans="2:21">
      <c r="B109" s="20">
        <v>106</v>
      </c>
      <c r="C109" s="14" t="s">
        <v>118</v>
      </c>
      <c r="D109" s="14" t="s">
        <v>12</v>
      </c>
      <c r="E109" s="14">
        <v>3</v>
      </c>
      <c r="F109" s="14">
        <v>80</v>
      </c>
      <c r="G109" s="14">
        <v>75</v>
      </c>
      <c r="H109" s="14">
        <v>73</v>
      </c>
      <c r="I109" s="14">
        <v>78</v>
      </c>
      <c r="J109" s="14" t="s">
        <v>16</v>
      </c>
      <c r="K109" s="14">
        <v>7</v>
      </c>
      <c r="L109" s="14">
        <v>4</v>
      </c>
      <c r="M109" s="15">
        <f t="shared" si="9"/>
        <v>226</v>
      </c>
      <c r="N109" s="15">
        <f t="shared" si="10"/>
        <v>75.333333333333329</v>
      </c>
      <c r="O109" s="14" t="str">
        <f t="shared" si="11"/>
        <v>Good</v>
      </c>
      <c r="P109" s="15">
        <f t="shared" si="12"/>
        <v>25.111111111111111</v>
      </c>
      <c r="Q109" s="14" t="str">
        <f t="shared" si="13"/>
        <v>No</v>
      </c>
      <c r="R109" s="14" t="str">
        <f t="shared" si="14"/>
        <v>Normal Students</v>
      </c>
      <c r="S109" s="14" t="str">
        <f t="shared" si="15"/>
        <v>Unbalanced Student</v>
      </c>
      <c r="T109" s="14" t="str">
        <f t="shared" si="16"/>
        <v>High</v>
      </c>
      <c r="U109" s="21" t="str">
        <f t="shared" si="17"/>
        <v>B</v>
      </c>
    </row>
    <row r="110" spans="2:21">
      <c r="B110" s="20">
        <v>107</v>
      </c>
      <c r="C110" s="14" t="s">
        <v>119</v>
      </c>
      <c r="D110" s="14" t="s">
        <v>15</v>
      </c>
      <c r="E110" s="14">
        <v>4</v>
      </c>
      <c r="F110" s="14">
        <v>87</v>
      </c>
      <c r="G110" s="14">
        <v>83</v>
      </c>
      <c r="H110" s="14">
        <v>81</v>
      </c>
      <c r="I110" s="14">
        <v>85</v>
      </c>
      <c r="J110" s="14" t="s">
        <v>13</v>
      </c>
      <c r="K110" s="14">
        <v>6</v>
      </c>
      <c r="L110" s="14">
        <v>3</v>
      </c>
      <c r="M110" s="15">
        <f t="shared" si="9"/>
        <v>249</v>
      </c>
      <c r="N110" s="15">
        <f t="shared" si="10"/>
        <v>83</v>
      </c>
      <c r="O110" s="14" t="str">
        <f t="shared" si="11"/>
        <v>Excellent</v>
      </c>
      <c r="P110" s="15">
        <f t="shared" si="12"/>
        <v>20.75</v>
      </c>
      <c r="Q110" s="14" t="str">
        <f t="shared" si="13"/>
        <v>No</v>
      </c>
      <c r="R110" s="14" t="str">
        <f t="shared" si="14"/>
        <v>Normal Students</v>
      </c>
      <c r="S110" s="14" t="str">
        <f t="shared" si="15"/>
        <v>Balanced Student</v>
      </c>
      <c r="T110" s="14" t="str">
        <f t="shared" si="16"/>
        <v>High</v>
      </c>
      <c r="U110" s="21" t="str">
        <f t="shared" si="17"/>
        <v>A</v>
      </c>
    </row>
    <row r="111" spans="2:21">
      <c r="B111" s="20">
        <v>108</v>
      </c>
      <c r="C111" s="14" t="s">
        <v>120</v>
      </c>
      <c r="D111" s="14" t="s">
        <v>12</v>
      </c>
      <c r="E111" s="14">
        <v>2</v>
      </c>
      <c r="F111" s="14">
        <v>70</v>
      </c>
      <c r="G111" s="14">
        <v>62</v>
      </c>
      <c r="H111" s="14">
        <v>60</v>
      </c>
      <c r="I111" s="14">
        <v>66</v>
      </c>
      <c r="J111" s="14" t="s">
        <v>16</v>
      </c>
      <c r="K111" s="14">
        <v>8</v>
      </c>
      <c r="L111" s="14">
        <v>5</v>
      </c>
      <c r="M111" s="15">
        <f t="shared" si="9"/>
        <v>188</v>
      </c>
      <c r="N111" s="15">
        <f t="shared" si="10"/>
        <v>62.666666666666664</v>
      </c>
      <c r="O111" s="14" t="str">
        <f t="shared" si="11"/>
        <v>Good</v>
      </c>
      <c r="P111" s="15">
        <f t="shared" si="12"/>
        <v>31.333333333333332</v>
      </c>
      <c r="Q111" s="14" t="str">
        <f t="shared" si="13"/>
        <v>No</v>
      </c>
      <c r="R111" s="14" t="str">
        <f t="shared" si="14"/>
        <v>Normal Students</v>
      </c>
      <c r="S111" s="14" t="str">
        <f t="shared" si="15"/>
        <v>Unbalanced Student</v>
      </c>
      <c r="T111" s="14" t="str">
        <f t="shared" si="16"/>
        <v>Medium</v>
      </c>
      <c r="U111" s="21" t="str">
        <f t="shared" si="17"/>
        <v>C</v>
      </c>
    </row>
    <row r="112" spans="2:21">
      <c r="B112" s="20">
        <v>109</v>
      </c>
      <c r="C112" s="14" t="s">
        <v>121</v>
      </c>
      <c r="D112" s="14" t="s">
        <v>15</v>
      </c>
      <c r="E112" s="14">
        <v>5</v>
      </c>
      <c r="F112" s="14">
        <v>92</v>
      </c>
      <c r="G112" s="14">
        <v>88</v>
      </c>
      <c r="H112" s="14">
        <v>90</v>
      </c>
      <c r="I112" s="14">
        <v>91</v>
      </c>
      <c r="J112" s="14" t="s">
        <v>13</v>
      </c>
      <c r="K112" s="14">
        <v>6</v>
      </c>
      <c r="L112" s="14">
        <v>2</v>
      </c>
      <c r="M112" s="15">
        <f t="shared" si="9"/>
        <v>269</v>
      </c>
      <c r="N112" s="15">
        <f t="shared" si="10"/>
        <v>89.666666666666671</v>
      </c>
      <c r="O112" s="14" t="str">
        <f t="shared" si="11"/>
        <v>Excellent</v>
      </c>
      <c r="P112" s="15">
        <f t="shared" si="12"/>
        <v>17.933333333333334</v>
      </c>
      <c r="Q112" s="14" t="str">
        <f t="shared" si="13"/>
        <v>No</v>
      </c>
      <c r="R112" s="14" t="str">
        <f t="shared" si="14"/>
        <v>Normal Students</v>
      </c>
      <c r="S112" s="14" t="str">
        <f t="shared" si="15"/>
        <v>Balanced Student</v>
      </c>
      <c r="T112" s="14" t="str">
        <f t="shared" si="16"/>
        <v>High</v>
      </c>
      <c r="U112" s="21" t="str">
        <f t="shared" si="17"/>
        <v>A</v>
      </c>
    </row>
    <row r="113" spans="2:21">
      <c r="B113" s="20">
        <v>110</v>
      </c>
      <c r="C113" s="14" t="s">
        <v>122</v>
      </c>
      <c r="D113" s="14" t="s">
        <v>12</v>
      </c>
      <c r="E113" s="14">
        <v>3</v>
      </c>
      <c r="F113" s="14">
        <v>78</v>
      </c>
      <c r="G113" s="14">
        <v>72</v>
      </c>
      <c r="H113" s="14">
        <v>70</v>
      </c>
      <c r="I113" s="14">
        <v>75</v>
      </c>
      <c r="J113" s="14" t="s">
        <v>13</v>
      </c>
      <c r="K113" s="14">
        <v>7</v>
      </c>
      <c r="L113" s="14">
        <v>4</v>
      </c>
      <c r="M113" s="15">
        <f t="shared" si="9"/>
        <v>217</v>
      </c>
      <c r="N113" s="15">
        <f t="shared" si="10"/>
        <v>72.333333333333329</v>
      </c>
      <c r="O113" s="14" t="str">
        <f t="shared" si="11"/>
        <v>Good</v>
      </c>
      <c r="P113" s="15">
        <f t="shared" si="12"/>
        <v>24.111111111111111</v>
      </c>
      <c r="Q113" s="14" t="str">
        <f t="shared" si="13"/>
        <v>No</v>
      </c>
      <c r="R113" s="14" t="str">
        <f t="shared" si="14"/>
        <v>Normal Students</v>
      </c>
      <c r="S113" s="14" t="str">
        <f t="shared" si="15"/>
        <v>Unbalanced Student</v>
      </c>
      <c r="T113" s="14" t="str">
        <f t="shared" si="16"/>
        <v>Medium</v>
      </c>
      <c r="U113" s="21" t="str">
        <f t="shared" si="17"/>
        <v>B</v>
      </c>
    </row>
    <row r="114" spans="2:21">
      <c r="B114" s="20">
        <v>111</v>
      </c>
      <c r="C114" s="14" t="s">
        <v>123</v>
      </c>
      <c r="D114" s="14" t="s">
        <v>15</v>
      </c>
      <c r="E114" s="14">
        <v>4</v>
      </c>
      <c r="F114" s="14">
        <v>85</v>
      </c>
      <c r="G114" s="14">
        <v>80</v>
      </c>
      <c r="H114" s="14">
        <v>82</v>
      </c>
      <c r="I114" s="14">
        <v>84</v>
      </c>
      <c r="J114" s="14" t="s">
        <v>13</v>
      </c>
      <c r="K114" s="14">
        <v>7</v>
      </c>
      <c r="L114" s="14">
        <v>3</v>
      </c>
      <c r="M114" s="15">
        <f t="shared" si="9"/>
        <v>246</v>
      </c>
      <c r="N114" s="15">
        <f t="shared" si="10"/>
        <v>82</v>
      </c>
      <c r="O114" s="14" t="str">
        <f t="shared" si="11"/>
        <v>Excellent</v>
      </c>
      <c r="P114" s="15">
        <f t="shared" si="12"/>
        <v>20.5</v>
      </c>
      <c r="Q114" s="14" t="str">
        <f t="shared" si="13"/>
        <v>No</v>
      </c>
      <c r="R114" s="14" t="str">
        <f t="shared" si="14"/>
        <v>Normal Students</v>
      </c>
      <c r="S114" s="14" t="str">
        <f t="shared" si="15"/>
        <v>Balanced Student</v>
      </c>
      <c r="T114" s="14" t="str">
        <f t="shared" si="16"/>
        <v>High</v>
      </c>
      <c r="U114" s="21" t="str">
        <f t="shared" si="17"/>
        <v>A</v>
      </c>
    </row>
    <row r="115" spans="2:21">
      <c r="B115" s="20">
        <v>112</v>
      </c>
      <c r="C115" s="14" t="s">
        <v>124</v>
      </c>
      <c r="D115" s="14" t="s">
        <v>12</v>
      </c>
      <c r="E115" s="14">
        <v>6</v>
      </c>
      <c r="F115" s="14">
        <v>94</v>
      </c>
      <c r="G115" s="14">
        <v>91</v>
      </c>
      <c r="H115" s="14">
        <v>90</v>
      </c>
      <c r="I115" s="14">
        <v>92</v>
      </c>
      <c r="J115" s="14" t="s">
        <v>16</v>
      </c>
      <c r="K115" s="14">
        <v>6</v>
      </c>
      <c r="L115" s="14">
        <v>2</v>
      </c>
      <c r="M115" s="15">
        <f t="shared" si="9"/>
        <v>273</v>
      </c>
      <c r="N115" s="15">
        <f t="shared" si="10"/>
        <v>91</v>
      </c>
      <c r="O115" s="14" t="str">
        <f t="shared" si="11"/>
        <v>Excellent</v>
      </c>
      <c r="P115" s="15">
        <f t="shared" si="12"/>
        <v>15.166666666666666</v>
      </c>
      <c r="Q115" s="14" t="str">
        <f t="shared" si="13"/>
        <v>No</v>
      </c>
      <c r="R115" s="14" t="str">
        <f t="shared" si="14"/>
        <v>Normal Students</v>
      </c>
      <c r="S115" s="14" t="str">
        <f t="shared" si="15"/>
        <v>Balanced Student</v>
      </c>
      <c r="T115" s="14" t="str">
        <f t="shared" si="16"/>
        <v>High</v>
      </c>
      <c r="U115" s="21" t="str">
        <f t="shared" si="17"/>
        <v>A</v>
      </c>
    </row>
    <row r="116" spans="2:21">
      <c r="B116" s="20">
        <v>113</v>
      </c>
      <c r="C116" s="14" t="s">
        <v>54</v>
      </c>
      <c r="D116" s="14" t="s">
        <v>15</v>
      </c>
      <c r="E116" s="14">
        <v>3</v>
      </c>
      <c r="F116" s="14">
        <v>79</v>
      </c>
      <c r="G116" s="14">
        <v>74</v>
      </c>
      <c r="H116" s="14">
        <v>72</v>
      </c>
      <c r="I116" s="14">
        <v>76</v>
      </c>
      <c r="J116" s="14" t="s">
        <v>13</v>
      </c>
      <c r="K116" s="14">
        <v>7</v>
      </c>
      <c r="L116" s="14">
        <v>4</v>
      </c>
      <c r="M116" s="15">
        <f t="shared" si="9"/>
        <v>222</v>
      </c>
      <c r="N116" s="15">
        <f t="shared" si="10"/>
        <v>74</v>
      </c>
      <c r="O116" s="14" t="str">
        <f t="shared" si="11"/>
        <v>Good</v>
      </c>
      <c r="P116" s="15">
        <f t="shared" si="12"/>
        <v>24.666666666666668</v>
      </c>
      <c r="Q116" s="14" t="str">
        <f t="shared" si="13"/>
        <v>No</v>
      </c>
      <c r="R116" s="14" t="str">
        <f t="shared" si="14"/>
        <v>Normal Students</v>
      </c>
      <c r="S116" s="14" t="str">
        <f t="shared" si="15"/>
        <v>Unbalanced Student</v>
      </c>
      <c r="T116" s="14" t="str">
        <f t="shared" si="16"/>
        <v>Medium</v>
      </c>
      <c r="U116" s="21" t="str">
        <f t="shared" si="17"/>
        <v>B</v>
      </c>
    </row>
    <row r="117" spans="2:21">
      <c r="B117" s="20">
        <v>114</v>
      </c>
      <c r="C117" s="14" t="s">
        <v>125</v>
      </c>
      <c r="D117" s="14" t="s">
        <v>12</v>
      </c>
      <c r="E117" s="14">
        <v>2</v>
      </c>
      <c r="F117" s="14">
        <v>72</v>
      </c>
      <c r="G117" s="14">
        <v>65</v>
      </c>
      <c r="H117" s="14">
        <v>64</v>
      </c>
      <c r="I117" s="14">
        <v>68</v>
      </c>
      <c r="J117" s="14" t="s">
        <v>16</v>
      </c>
      <c r="K117" s="14">
        <v>8</v>
      </c>
      <c r="L117" s="14">
        <v>5</v>
      </c>
      <c r="M117" s="15">
        <f t="shared" si="9"/>
        <v>197</v>
      </c>
      <c r="N117" s="15">
        <f t="shared" si="10"/>
        <v>65.666666666666671</v>
      </c>
      <c r="O117" s="14" t="str">
        <f t="shared" si="11"/>
        <v>Good</v>
      </c>
      <c r="P117" s="15">
        <f t="shared" si="12"/>
        <v>32.833333333333336</v>
      </c>
      <c r="Q117" s="14" t="str">
        <f t="shared" si="13"/>
        <v>No</v>
      </c>
      <c r="R117" s="14" t="str">
        <f t="shared" si="14"/>
        <v>Normal Students</v>
      </c>
      <c r="S117" s="14" t="str">
        <f t="shared" si="15"/>
        <v>Unbalanced Student</v>
      </c>
      <c r="T117" s="14" t="str">
        <f t="shared" si="16"/>
        <v>Medium</v>
      </c>
      <c r="U117" s="21" t="str">
        <f t="shared" si="17"/>
        <v>C</v>
      </c>
    </row>
    <row r="118" spans="2:21">
      <c r="B118" s="20">
        <v>115</v>
      </c>
      <c r="C118" s="14" t="s">
        <v>126</v>
      </c>
      <c r="D118" s="14" t="s">
        <v>12</v>
      </c>
      <c r="E118" s="14">
        <v>5</v>
      </c>
      <c r="F118" s="14">
        <v>90</v>
      </c>
      <c r="G118" s="14">
        <v>86</v>
      </c>
      <c r="H118" s="14">
        <v>88</v>
      </c>
      <c r="I118" s="14">
        <v>89</v>
      </c>
      <c r="J118" s="14" t="s">
        <v>13</v>
      </c>
      <c r="K118" s="14">
        <v>6</v>
      </c>
      <c r="L118" s="14">
        <v>2</v>
      </c>
      <c r="M118" s="15">
        <f t="shared" si="9"/>
        <v>263</v>
      </c>
      <c r="N118" s="15">
        <f t="shared" si="10"/>
        <v>87.666666666666671</v>
      </c>
      <c r="O118" s="14" t="str">
        <f t="shared" si="11"/>
        <v>Excellent</v>
      </c>
      <c r="P118" s="15">
        <f t="shared" si="12"/>
        <v>17.533333333333335</v>
      </c>
      <c r="Q118" s="14" t="str">
        <f t="shared" si="13"/>
        <v>No</v>
      </c>
      <c r="R118" s="14" t="str">
        <f t="shared" si="14"/>
        <v>Normal Students</v>
      </c>
      <c r="S118" s="14" t="str">
        <f t="shared" si="15"/>
        <v>Balanced Student</v>
      </c>
      <c r="T118" s="14" t="str">
        <f t="shared" si="16"/>
        <v>High</v>
      </c>
      <c r="U118" s="21" t="str">
        <f t="shared" si="17"/>
        <v>A</v>
      </c>
    </row>
    <row r="119" spans="2:21">
      <c r="B119" s="20">
        <v>116</v>
      </c>
      <c r="C119" s="14" t="s">
        <v>127</v>
      </c>
      <c r="D119" s="14" t="s">
        <v>15</v>
      </c>
      <c r="E119" s="14">
        <v>4</v>
      </c>
      <c r="F119" s="14">
        <v>87</v>
      </c>
      <c r="G119" s="14">
        <v>83</v>
      </c>
      <c r="H119" s="14">
        <v>81</v>
      </c>
      <c r="I119" s="14">
        <v>85</v>
      </c>
      <c r="J119" s="14" t="s">
        <v>13</v>
      </c>
      <c r="K119" s="14">
        <v>6</v>
      </c>
      <c r="L119" s="14">
        <v>3</v>
      </c>
      <c r="M119" s="15">
        <f t="shared" si="9"/>
        <v>249</v>
      </c>
      <c r="N119" s="15">
        <f t="shared" si="10"/>
        <v>83</v>
      </c>
      <c r="O119" s="14" t="str">
        <f t="shared" si="11"/>
        <v>Excellent</v>
      </c>
      <c r="P119" s="15">
        <f t="shared" si="12"/>
        <v>20.75</v>
      </c>
      <c r="Q119" s="14" t="str">
        <f t="shared" si="13"/>
        <v>No</v>
      </c>
      <c r="R119" s="14" t="str">
        <f t="shared" si="14"/>
        <v>Normal Students</v>
      </c>
      <c r="S119" s="14" t="str">
        <f t="shared" si="15"/>
        <v>Balanced Student</v>
      </c>
      <c r="T119" s="14" t="str">
        <f t="shared" si="16"/>
        <v>High</v>
      </c>
      <c r="U119" s="21" t="str">
        <f t="shared" si="17"/>
        <v>A</v>
      </c>
    </row>
    <row r="120" spans="2:21">
      <c r="B120" s="20">
        <v>117</v>
      </c>
      <c r="C120" s="14" t="s">
        <v>128</v>
      </c>
      <c r="D120" s="14" t="s">
        <v>12</v>
      </c>
      <c r="E120" s="14">
        <v>3</v>
      </c>
      <c r="F120" s="14">
        <v>80</v>
      </c>
      <c r="G120" s="14">
        <v>75</v>
      </c>
      <c r="H120" s="14">
        <v>73</v>
      </c>
      <c r="I120" s="14">
        <v>78</v>
      </c>
      <c r="J120" s="14" t="s">
        <v>16</v>
      </c>
      <c r="K120" s="14">
        <v>7</v>
      </c>
      <c r="L120" s="14">
        <v>4</v>
      </c>
      <c r="M120" s="15">
        <f t="shared" si="9"/>
        <v>226</v>
      </c>
      <c r="N120" s="15">
        <f t="shared" si="10"/>
        <v>75.333333333333329</v>
      </c>
      <c r="O120" s="14" t="str">
        <f t="shared" si="11"/>
        <v>Good</v>
      </c>
      <c r="P120" s="15">
        <f t="shared" si="12"/>
        <v>25.111111111111111</v>
      </c>
      <c r="Q120" s="14" t="str">
        <f t="shared" si="13"/>
        <v>No</v>
      </c>
      <c r="R120" s="14" t="str">
        <f t="shared" si="14"/>
        <v>Normal Students</v>
      </c>
      <c r="S120" s="14" t="str">
        <f t="shared" si="15"/>
        <v>Unbalanced Student</v>
      </c>
      <c r="T120" s="14" t="str">
        <f t="shared" si="16"/>
        <v>High</v>
      </c>
      <c r="U120" s="21" t="str">
        <f t="shared" si="17"/>
        <v>B</v>
      </c>
    </row>
    <row r="121" spans="2:21">
      <c r="B121" s="20">
        <v>118</v>
      </c>
      <c r="C121" s="14" t="s">
        <v>129</v>
      </c>
      <c r="D121" s="14" t="s">
        <v>15</v>
      </c>
      <c r="E121" s="14">
        <v>5</v>
      </c>
      <c r="F121" s="14">
        <v>91</v>
      </c>
      <c r="G121" s="14">
        <v>87</v>
      </c>
      <c r="H121" s="14">
        <v>88</v>
      </c>
      <c r="I121" s="14">
        <v>90</v>
      </c>
      <c r="J121" s="14" t="s">
        <v>13</v>
      </c>
      <c r="K121" s="14">
        <v>6</v>
      </c>
      <c r="L121" s="14">
        <v>2</v>
      </c>
      <c r="M121" s="15">
        <f t="shared" si="9"/>
        <v>265</v>
      </c>
      <c r="N121" s="15">
        <f t="shared" si="10"/>
        <v>88.333333333333329</v>
      </c>
      <c r="O121" s="14" t="str">
        <f t="shared" si="11"/>
        <v>Excellent</v>
      </c>
      <c r="P121" s="15">
        <f t="shared" si="12"/>
        <v>17.666666666666664</v>
      </c>
      <c r="Q121" s="14" t="str">
        <f t="shared" si="13"/>
        <v>No</v>
      </c>
      <c r="R121" s="14" t="str">
        <f t="shared" si="14"/>
        <v>Normal Students</v>
      </c>
      <c r="S121" s="14" t="str">
        <f t="shared" si="15"/>
        <v>Balanced Student</v>
      </c>
      <c r="T121" s="14" t="str">
        <f t="shared" si="16"/>
        <v>High</v>
      </c>
      <c r="U121" s="21" t="str">
        <f t="shared" si="17"/>
        <v>A</v>
      </c>
    </row>
    <row r="122" spans="2:21">
      <c r="B122" s="20">
        <v>119</v>
      </c>
      <c r="C122" s="14" t="s">
        <v>130</v>
      </c>
      <c r="D122" s="14" t="s">
        <v>12</v>
      </c>
      <c r="E122" s="14">
        <v>2</v>
      </c>
      <c r="F122" s="14">
        <v>68</v>
      </c>
      <c r="G122" s="14">
        <v>60</v>
      </c>
      <c r="H122" s="14">
        <v>58</v>
      </c>
      <c r="I122" s="14">
        <v>64</v>
      </c>
      <c r="J122" s="14" t="s">
        <v>16</v>
      </c>
      <c r="K122" s="14">
        <v>8</v>
      </c>
      <c r="L122" s="14">
        <v>5</v>
      </c>
      <c r="M122" s="15">
        <f t="shared" si="9"/>
        <v>182</v>
      </c>
      <c r="N122" s="15">
        <f t="shared" si="10"/>
        <v>60.666666666666664</v>
      </c>
      <c r="O122" s="14" t="str">
        <f t="shared" si="11"/>
        <v>Good</v>
      </c>
      <c r="P122" s="15">
        <f t="shared" si="12"/>
        <v>30.333333333333332</v>
      </c>
      <c r="Q122" s="14" t="str">
        <f t="shared" si="13"/>
        <v>No</v>
      </c>
      <c r="R122" s="14" t="str">
        <f t="shared" si="14"/>
        <v>Normal Students</v>
      </c>
      <c r="S122" s="14" t="str">
        <f t="shared" si="15"/>
        <v>Unbalanced Student</v>
      </c>
      <c r="T122" s="14" t="str">
        <f t="shared" si="16"/>
        <v>Medium</v>
      </c>
      <c r="U122" s="21" t="str">
        <f t="shared" si="17"/>
        <v>C</v>
      </c>
    </row>
    <row r="123" spans="2:21">
      <c r="B123" s="20">
        <v>120</v>
      </c>
      <c r="C123" s="14" t="s">
        <v>131</v>
      </c>
      <c r="D123" s="14" t="s">
        <v>15</v>
      </c>
      <c r="E123" s="14">
        <v>4</v>
      </c>
      <c r="F123" s="14">
        <v>85</v>
      </c>
      <c r="G123" s="14">
        <v>81</v>
      </c>
      <c r="H123" s="14">
        <v>82</v>
      </c>
      <c r="I123" s="14">
        <v>84</v>
      </c>
      <c r="J123" s="14" t="s">
        <v>13</v>
      </c>
      <c r="K123" s="14">
        <v>7</v>
      </c>
      <c r="L123" s="14">
        <v>3</v>
      </c>
      <c r="M123" s="15">
        <f t="shared" si="9"/>
        <v>247</v>
      </c>
      <c r="N123" s="15">
        <f t="shared" si="10"/>
        <v>82.333333333333329</v>
      </c>
      <c r="O123" s="14" t="str">
        <f t="shared" si="11"/>
        <v>Excellent</v>
      </c>
      <c r="P123" s="15">
        <f t="shared" si="12"/>
        <v>20.583333333333332</v>
      </c>
      <c r="Q123" s="14" t="str">
        <f t="shared" si="13"/>
        <v>No</v>
      </c>
      <c r="R123" s="14" t="str">
        <f t="shared" si="14"/>
        <v>Normal Students</v>
      </c>
      <c r="S123" s="14" t="str">
        <f t="shared" si="15"/>
        <v>Balanced Student</v>
      </c>
      <c r="T123" s="14" t="str">
        <f t="shared" si="16"/>
        <v>High</v>
      </c>
      <c r="U123" s="21" t="str">
        <f t="shared" si="17"/>
        <v>A</v>
      </c>
    </row>
    <row r="124" spans="2:21">
      <c r="B124" s="20">
        <v>121</v>
      </c>
      <c r="C124" s="14" t="s">
        <v>132</v>
      </c>
      <c r="D124" s="14" t="s">
        <v>12</v>
      </c>
      <c r="E124" s="14">
        <v>6</v>
      </c>
      <c r="F124" s="14">
        <v>94</v>
      </c>
      <c r="G124" s="14">
        <v>92</v>
      </c>
      <c r="H124" s="14">
        <v>91</v>
      </c>
      <c r="I124" s="14">
        <v>95</v>
      </c>
      <c r="J124" s="14" t="s">
        <v>16</v>
      </c>
      <c r="K124" s="14">
        <v>6</v>
      </c>
      <c r="L124" s="14">
        <v>2</v>
      </c>
      <c r="M124" s="15">
        <f t="shared" si="9"/>
        <v>278</v>
      </c>
      <c r="N124" s="15">
        <f t="shared" si="10"/>
        <v>92.666666666666671</v>
      </c>
      <c r="O124" s="14" t="str">
        <f t="shared" si="11"/>
        <v>Excellent</v>
      </c>
      <c r="P124" s="15">
        <f t="shared" si="12"/>
        <v>15.444444444444445</v>
      </c>
      <c r="Q124" s="14" t="str">
        <f t="shared" si="13"/>
        <v>No</v>
      </c>
      <c r="R124" s="14" t="str">
        <f t="shared" si="14"/>
        <v>Normal Students</v>
      </c>
      <c r="S124" s="14" t="str">
        <f t="shared" si="15"/>
        <v>Balanced Student</v>
      </c>
      <c r="T124" s="14" t="str">
        <f t="shared" si="16"/>
        <v>High</v>
      </c>
      <c r="U124" s="21" t="str">
        <f t="shared" si="17"/>
        <v>A</v>
      </c>
    </row>
    <row r="125" spans="2:21">
      <c r="B125" s="20">
        <v>122</v>
      </c>
      <c r="C125" s="14" t="s">
        <v>133</v>
      </c>
      <c r="D125" s="14" t="s">
        <v>15</v>
      </c>
      <c r="E125" s="14">
        <v>3</v>
      </c>
      <c r="F125" s="14">
        <v>78</v>
      </c>
      <c r="G125" s="14">
        <v>72</v>
      </c>
      <c r="H125" s="14">
        <v>70</v>
      </c>
      <c r="I125" s="14">
        <v>75</v>
      </c>
      <c r="J125" s="14" t="s">
        <v>13</v>
      </c>
      <c r="K125" s="14">
        <v>7</v>
      </c>
      <c r="L125" s="14">
        <v>4</v>
      </c>
      <c r="M125" s="15">
        <f t="shared" si="9"/>
        <v>217</v>
      </c>
      <c r="N125" s="15">
        <f t="shared" si="10"/>
        <v>72.333333333333329</v>
      </c>
      <c r="O125" s="14" t="str">
        <f t="shared" si="11"/>
        <v>Good</v>
      </c>
      <c r="P125" s="15">
        <f t="shared" si="12"/>
        <v>24.111111111111111</v>
      </c>
      <c r="Q125" s="14" t="str">
        <f t="shared" si="13"/>
        <v>No</v>
      </c>
      <c r="R125" s="14" t="str">
        <f t="shared" si="14"/>
        <v>Normal Students</v>
      </c>
      <c r="S125" s="14" t="str">
        <f t="shared" si="15"/>
        <v>Unbalanced Student</v>
      </c>
      <c r="T125" s="14" t="str">
        <f t="shared" si="16"/>
        <v>Medium</v>
      </c>
      <c r="U125" s="21" t="str">
        <f t="shared" si="17"/>
        <v>B</v>
      </c>
    </row>
    <row r="126" spans="2:21">
      <c r="B126" s="20">
        <v>123</v>
      </c>
      <c r="C126" s="14" t="s">
        <v>134</v>
      </c>
      <c r="D126" s="14" t="s">
        <v>12</v>
      </c>
      <c r="E126" s="14">
        <v>4</v>
      </c>
      <c r="F126" s="14">
        <v>85</v>
      </c>
      <c r="G126" s="14">
        <v>80</v>
      </c>
      <c r="H126" s="14">
        <v>82</v>
      </c>
      <c r="I126" s="14">
        <v>84</v>
      </c>
      <c r="J126" s="14" t="s">
        <v>13</v>
      </c>
      <c r="K126" s="14">
        <v>7</v>
      </c>
      <c r="L126" s="14">
        <v>3</v>
      </c>
      <c r="M126" s="15">
        <f t="shared" si="9"/>
        <v>246</v>
      </c>
      <c r="N126" s="15">
        <f t="shared" si="10"/>
        <v>82</v>
      </c>
      <c r="O126" s="14" t="str">
        <f t="shared" si="11"/>
        <v>Excellent</v>
      </c>
      <c r="P126" s="15">
        <f t="shared" si="12"/>
        <v>20.5</v>
      </c>
      <c r="Q126" s="14" t="str">
        <f t="shared" si="13"/>
        <v>No</v>
      </c>
      <c r="R126" s="14" t="str">
        <f t="shared" si="14"/>
        <v>Normal Students</v>
      </c>
      <c r="S126" s="14" t="str">
        <f t="shared" si="15"/>
        <v>Balanced Student</v>
      </c>
      <c r="T126" s="14" t="str">
        <f t="shared" si="16"/>
        <v>High</v>
      </c>
      <c r="U126" s="21" t="str">
        <f t="shared" si="17"/>
        <v>A</v>
      </c>
    </row>
    <row r="127" spans="2:21">
      <c r="B127" s="20">
        <v>124</v>
      </c>
      <c r="C127" s="14" t="s">
        <v>28</v>
      </c>
      <c r="D127" s="14" t="s">
        <v>15</v>
      </c>
      <c r="E127" s="14">
        <v>5</v>
      </c>
      <c r="F127" s="14">
        <v>90</v>
      </c>
      <c r="G127" s="14">
        <v>86</v>
      </c>
      <c r="H127" s="14">
        <v>88</v>
      </c>
      <c r="I127" s="14">
        <v>89</v>
      </c>
      <c r="J127" s="14" t="s">
        <v>13</v>
      </c>
      <c r="K127" s="14">
        <v>6</v>
      </c>
      <c r="L127" s="14">
        <v>2</v>
      </c>
      <c r="M127" s="15">
        <f t="shared" si="9"/>
        <v>263</v>
      </c>
      <c r="N127" s="15">
        <f t="shared" si="10"/>
        <v>87.666666666666671</v>
      </c>
      <c r="O127" s="14" t="str">
        <f t="shared" si="11"/>
        <v>Excellent</v>
      </c>
      <c r="P127" s="15">
        <f t="shared" si="12"/>
        <v>17.533333333333335</v>
      </c>
      <c r="Q127" s="14" t="str">
        <f t="shared" si="13"/>
        <v>No</v>
      </c>
      <c r="R127" s="14" t="str">
        <f t="shared" si="14"/>
        <v>Normal Students</v>
      </c>
      <c r="S127" s="14" t="str">
        <f t="shared" si="15"/>
        <v>Balanced Student</v>
      </c>
      <c r="T127" s="14" t="str">
        <f t="shared" si="16"/>
        <v>High</v>
      </c>
      <c r="U127" s="21" t="str">
        <f t="shared" si="17"/>
        <v>A</v>
      </c>
    </row>
    <row r="128" spans="2:21">
      <c r="B128" s="20">
        <v>125</v>
      </c>
      <c r="C128" s="14" t="s">
        <v>135</v>
      </c>
      <c r="D128" s="14" t="s">
        <v>12</v>
      </c>
      <c r="E128" s="14">
        <v>2</v>
      </c>
      <c r="F128" s="14">
        <v>70</v>
      </c>
      <c r="G128" s="14">
        <v>62</v>
      </c>
      <c r="H128" s="14">
        <v>60</v>
      </c>
      <c r="I128" s="14">
        <v>66</v>
      </c>
      <c r="J128" s="14" t="s">
        <v>16</v>
      </c>
      <c r="K128" s="14">
        <v>8</v>
      </c>
      <c r="L128" s="14">
        <v>5</v>
      </c>
      <c r="M128" s="15">
        <f t="shared" si="9"/>
        <v>188</v>
      </c>
      <c r="N128" s="15">
        <f t="shared" si="10"/>
        <v>62.666666666666664</v>
      </c>
      <c r="O128" s="14" t="str">
        <f t="shared" si="11"/>
        <v>Good</v>
      </c>
      <c r="P128" s="15">
        <f t="shared" si="12"/>
        <v>31.333333333333332</v>
      </c>
      <c r="Q128" s="14" t="str">
        <f t="shared" si="13"/>
        <v>No</v>
      </c>
      <c r="R128" s="14" t="str">
        <f t="shared" si="14"/>
        <v>Normal Students</v>
      </c>
      <c r="S128" s="14" t="str">
        <f t="shared" si="15"/>
        <v>Unbalanced Student</v>
      </c>
      <c r="T128" s="14" t="str">
        <f t="shared" si="16"/>
        <v>Medium</v>
      </c>
      <c r="U128" s="21" t="str">
        <f t="shared" si="17"/>
        <v>C</v>
      </c>
    </row>
    <row r="129" spans="2:21">
      <c r="B129" s="20">
        <v>126</v>
      </c>
      <c r="C129" s="14" t="s">
        <v>136</v>
      </c>
      <c r="D129" s="14" t="s">
        <v>15</v>
      </c>
      <c r="E129" s="14">
        <v>4</v>
      </c>
      <c r="F129" s="14">
        <v>88</v>
      </c>
      <c r="G129" s="14">
        <v>84</v>
      </c>
      <c r="H129" s="14">
        <v>83</v>
      </c>
      <c r="I129" s="14">
        <v>86</v>
      </c>
      <c r="J129" s="14" t="s">
        <v>13</v>
      </c>
      <c r="K129" s="14">
        <v>7</v>
      </c>
      <c r="L129" s="14">
        <v>3</v>
      </c>
      <c r="M129" s="15">
        <f t="shared" si="9"/>
        <v>253</v>
      </c>
      <c r="N129" s="15">
        <f t="shared" si="10"/>
        <v>84.333333333333329</v>
      </c>
      <c r="O129" s="14" t="str">
        <f t="shared" si="11"/>
        <v>Excellent</v>
      </c>
      <c r="P129" s="15">
        <f t="shared" si="12"/>
        <v>21.083333333333332</v>
      </c>
      <c r="Q129" s="14" t="str">
        <f t="shared" si="13"/>
        <v>No</v>
      </c>
      <c r="R129" s="14" t="str">
        <f t="shared" si="14"/>
        <v>Normal Students</v>
      </c>
      <c r="S129" s="14" t="str">
        <f t="shared" si="15"/>
        <v>Balanced Student</v>
      </c>
      <c r="T129" s="14" t="str">
        <f t="shared" si="16"/>
        <v>High</v>
      </c>
      <c r="U129" s="21" t="str">
        <f t="shared" si="17"/>
        <v>A</v>
      </c>
    </row>
    <row r="130" spans="2:21">
      <c r="B130" s="20">
        <v>127</v>
      </c>
      <c r="C130" s="14" t="s">
        <v>137</v>
      </c>
      <c r="D130" s="14" t="s">
        <v>12</v>
      </c>
      <c r="E130" s="14">
        <v>3</v>
      </c>
      <c r="F130" s="14">
        <v>82</v>
      </c>
      <c r="G130" s="14">
        <v>76</v>
      </c>
      <c r="H130" s="14">
        <v>75</v>
      </c>
      <c r="I130" s="14">
        <v>80</v>
      </c>
      <c r="J130" s="14" t="s">
        <v>16</v>
      </c>
      <c r="K130" s="14">
        <v>7</v>
      </c>
      <c r="L130" s="14">
        <v>4</v>
      </c>
      <c r="M130" s="15">
        <f t="shared" si="9"/>
        <v>231</v>
      </c>
      <c r="N130" s="15">
        <f t="shared" si="10"/>
        <v>77</v>
      </c>
      <c r="O130" s="14" t="str">
        <f t="shared" si="11"/>
        <v>Good</v>
      </c>
      <c r="P130" s="15">
        <f t="shared" si="12"/>
        <v>25.666666666666668</v>
      </c>
      <c r="Q130" s="14" t="str">
        <f t="shared" si="13"/>
        <v>No</v>
      </c>
      <c r="R130" s="14" t="str">
        <f t="shared" si="14"/>
        <v>Normal Students</v>
      </c>
      <c r="S130" s="14" t="str">
        <f t="shared" si="15"/>
        <v>Unbalanced Student</v>
      </c>
      <c r="T130" s="14" t="str">
        <f t="shared" si="16"/>
        <v>High</v>
      </c>
      <c r="U130" s="21" t="str">
        <f t="shared" si="17"/>
        <v>B</v>
      </c>
    </row>
    <row r="131" spans="2:21">
      <c r="B131" s="20">
        <v>128</v>
      </c>
      <c r="C131" s="14" t="s">
        <v>138</v>
      </c>
      <c r="D131" s="14" t="s">
        <v>15</v>
      </c>
      <c r="E131" s="14">
        <v>5</v>
      </c>
      <c r="F131" s="14">
        <v>91</v>
      </c>
      <c r="G131" s="14">
        <v>87</v>
      </c>
      <c r="H131" s="14">
        <v>88</v>
      </c>
      <c r="I131" s="14">
        <v>90</v>
      </c>
      <c r="J131" s="14" t="s">
        <v>13</v>
      </c>
      <c r="K131" s="14">
        <v>6</v>
      </c>
      <c r="L131" s="14">
        <v>2</v>
      </c>
      <c r="M131" s="15">
        <f t="shared" si="9"/>
        <v>265</v>
      </c>
      <c r="N131" s="15">
        <f t="shared" si="10"/>
        <v>88.333333333333329</v>
      </c>
      <c r="O131" s="14" t="str">
        <f t="shared" si="11"/>
        <v>Excellent</v>
      </c>
      <c r="P131" s="15">
        <f t="shared" si="12"/>
        <v>17.666666666666664</v>
      </c>
      <c r="Q131" s="14" t="str">
        <f t="shared" si="13"/>
        <v>No</v>
      </c>
      <c r="R131" s="14" t="str">
        <f t="shared" si="14"/>
        <v>Normal Students</v>
      </c>
      <c r="S131" s="14" t="str">
        <f t="shared" si="15"/>
        <v>Balanced Student</v>
      </c>
      <c r="T131" s="14" t="str">
        <f t="shared" si="16"/>
        <v>High</v>
      </c>
      <c r="U131" s="21" t="str">
        <f t="shared" si="17"/>
        <v>A</v>
      </c>
    </row>
    <row r="132" spans="2:21">
      <c r="B132" s="20">
        <v>129</v>
      </c>
      <c r="C132" s="14" t="s">
        <v>139</v>
      </c>
      <c r="D132" s="14" t="s">
        <v>12</v>
      </c>
      <c r="E132" s="14">
        <v>2</v>
      </c>
      <c r="F132" s="14">
        <v>68</v>
      </c>
      <c r="G132" s="14">
        <v>60</v>
      </c>
      <c r="H132" s="14">
        <v>58</v>
      </c>
      <c r="I132" s="14">
        <v>64</v>
      </c>
      <c r="J132" s="14" t="s">
        <v>16</v>
      </c>
      <c r="K132" s="14">
        <v>8</v>
      </c>
      <c r="L132" s="14">
        <v>5</v>
      </c>
      <c r="M132" s="15">
        <f t="shared" si="9"/>
        <v>182</v>
      </c>
      <c r="N132" s="15">
        <f t="shared" si="10"/>
        <v>60.666666666666664</v>
      </c>
      <c r="O132" s="14" t="str">
        <f t="shared" si="11"/>
        <v>Good</v>
      </c>
      <c r="P132" s="15">
        <f t="shared" si="12"/>
        <v>30.333333333333332</v>
      </c>
      <c r="Q132" s="14" t="str">
        <f t="shared" si="13"/>
        <v>No</v>
      </c>
      <c r="R132" s="14" t="str">
        <f t="shared" si="14"/>
        <v>Normal Students</v>
      </c>
      <c r="S132" s="14" t="str">
        <f t="shared" si="15"/>
        <v>Unbalanced Student</v>
      </c>
      <c r="T132" s="14" t="str">
        <f t="shared" si="16"/>
        <v>Medium</v>
      </c>
      <c r="U132" s="21" t="str">
        <f t="shared" si="17"/>
        <v>C</v>
      </c>
    </row>
    <row r="133" spans="2:21">
      <c r="B133" s="20">
        <v>130</v>
      </c>
      <c r="C133" s="14" t="s">
        <v>140</v>
      </c>
      <c r="D133" s="14" t="s">
        <v>15</v>
      </c>
      <c r="E133" s="14">
        <v>4</v>
      </c>
      <c r="F133" s="14">
        <v>85</v>
      </c>
      <c r="G133" s="14">
        <v>81</v>
      </c>
      <c r="H133" s="14">
        <v>82</v>
      </c>
      <c r="I133" s="14">
        <v>84</v>
      </c>
      <c r="J133" s="14" t="s">
        <v>13</v>
      </c>
      <c r="K133" s="14">
        <v>7</v>
      </c>
      <c r="L133" s="14">
        <v>3</v>
      </c>
      <c r="M133" s="15">
        <f t="shared" ref="M133:M196" si="18">SUM(G133:I133)</f>
        <v>247</v>
      </c>
      <c r="N133" s="15">
        <f t="shared" ref="N133:N196" si="19">AVERAGE(G133:I133)</f>
        <v>82.333333333333329</v>
      </c>
      <c r="O133" s="14" t="str">
        <f t="shared" ref="O133:O196" si="20">IF(N133&gt;= 80, "Excellent",IF(N133&gt;=60, "Good","Needs Improvement"))</f>
        <v>Excellent</v>
      </c>
      <c r="P133" s="15">
        <f t="shared" ref="P133:P196" si="21">IF(E133,N133/E133,0)</f>
        <v>20.583333333333332</v>
      </c>
      <c r="Q133" s="14" t="str">
        <f t="shared" ref="Q133:Q196" si="22">IF(AND(F133 &lt; 75,N133 &lt; 60),"Yes", "No")</f>
        <v>No</v>
      </c>
      <c r="R133" s="14" t="str">
        <f t="shared" ref="R133:R196" si="23">IF(AND(N133&gt;=80,E133&lt;=2),"Smart Students","Normal Students")</f>
        <v>Normal Students</v>
      </c>
      <c r="S133" s="14" t="str">
        <f t="shared" ref="S133:S196" si="24">IF(AND(F133&gt;=75,K133&gt;=6,N133&gt;=80),"Balanced Student","Unbalanced Student")</f>
        <v>Balanced Student</v>
      </c>
      <c r="T133" s="14" t="str">
        <f t="shared" ref="T133:T196" si="25">IF(F133&gt;= 80, "High",
IF(F133&gt;=60,"Medium", "Low"))</f>
        <v>High</v>
      </c>
      <c r="U133" s="21" t="str">
        <f t="shared" ref="U133:U196" si="26">VLOOKUP(N133,$AA$5:$AB$9,2,1)</f>
        <v>A</v>
      </c>
    </row>
    <row r="134" spans="2:21">
      <c r="B134" s="20">
        <v>131</v>
      </c>
      <c r="C134" s="14" t="s">
        <v>141</v>
      </c>
      <c r="D134" s="14" t="s">
        <v>12</v>
      </c>
      <c r="E134" s="14">
        <v>6</v>
      </c>
      <c r="F134" s="14">
        <v>94</v>
      </c>
      <c r="G134" s="14">
        <v>91</v>
      </c>
      <c r="H134" s="14">
        <v>90</v>
      </c>
      <c r="I134" s="14">
        <v>92</v>
      </c>
      <c r="J134" s="14" t="s">
        <v>16</v>
      </c>
      <c r="K134" s="14">
        <v>6</v>
      </c>
      <c r="L134" s="14">
        <v>2</v>
      </c>
      <c r="M134" s="15">
        <f t="shared" si="18"/>
        <v>273</v>
      </c>
      <c r="N134" s="15">
        <f t="shared" si="19"/>
        <v>91</v>
      </c>
      <c r="O134" s="14" t="str">
        <f t="shared" si="20"/>
        <v>Excellent</v>
      </c>
      <c r="P134" s="15">
        <f t="shared" si="21"/>
        <v>15.166666666666666</v>
      </c>
      <c r="Q134" s="14" t="str">
        <f t="shared" si="22"/>
        <v>No</v>
      </c>
      <c r="R134" s="14" t="str">
        <f t="shared" si="23"/>
        <v>Normal Students</v>
      </c>
      <c r="S134" s="14" t="str">
        <f t="shared" si="24"/>
        <v>Balanced Student</v>
      </c>
      <c r="T134" s="14" t="str">
        <f t="shared" si="25"/>
        <v>High</v>
      </c>
      <c r="U134" s="21" t="str">
        <f t="shared" si="26"/>
        <v>A</v>
      </c>
    </row>
    <row r="135" spans="2:21">
      <c r="B135" s="20">
        <v>132</v>
      </c>
      <c r="C135" s="14" t="s">
        <v>142</v>
      </c>
      <c r="D135" s="14" t="s">
        <v>15</v>
      </c>
      <c r="E135" s="14">
        <v>3</v>
      </c>
      <c r="F135" s="14">
        <v>79</v>
      </c>
      <c r="G135" s="14">
        <v>74</v>
      </c>
      <c r="H135" s="14">
        <v>72</v>
      </c>
      <c r="I135" s="14">
        <v>77</v>
      </c>
      <c r="J135" s="14" t="s">
        <v>13</v>
      </c>
      <c r="K135" s="14">
        <v>7</v>
      </c>
      <c r="L135" s="14">
        <v>4</v>
      </c>
      <c r="M135" s="15">
        <f t="shared" si="18"/>
        <v>223</v>
      </c>
      <c r="N135" s="15">
        <f t="shared" si="19"/>
        <v>74.333333333333329</v>
      </c>
      <c r="O135" s="14" t="str">
        <f t="shared" si="20"/>
        <v>Good</v>
      </c>
      <c r="P135" s="15">
        <f t="shared" si="21"/>
        <v>24.777777777777775</v>
      </c>
      <c r="Q135" s="14" t="str">
        <f t="shared" si="22"/>
        <v>No</v>
      </c>
      <c r="R135" s="14" t="str">
        <f t="shared" si="23"/>
        <v>Normal Students</v>
      </c>
      <c r="S135" s="14" t="str">
        <f t="shared" si="24"/>
        <v>Unbalanced Student</v>
      </c>
      <c r="T135" s="14" t="str">
        <f t="shared" si="25"/>
        <v>Medium</v>
      </c>
      <c r="U135" s="21" t="str">
        <f t="shared" si="26"/>
        <v>B</v>
      </c>
    </row>
    <row r="136" spans="2:21">
      <c r="B136" s="20">
        <v>133</v>
      </c>
      <c r="C136" s="14" t="s">
        <v>143</v>
      </c>
      <c r="D136" s="14" t="s">
        <v>15</v>
      </c>
      <c r="E136" s="14">
        <v>5</v>
      </c>
      <c r="F136" s="14">
        <v>90</v>
      </c>
      <c r="G136" s="14">
        <v>86</v>
      </c>
      <c r="H136" s="14">
        <v>88</v>
      </c>
      <c r="I136" s="14">
        <v>89</v>
      </c>
      <c r="J136" s="14" t="s">
        <v>13</v>
      </c>
      <c r="K136" s="14">
        <v>6</v>
      </c>
      <c r="L136" s="14">
        <v>2</v>
      </c>
      <c r="M136" s="15">
        <f t="shared" si="18"/>
        <v>263</v>
      </c>
      <c r="N136" s="15">
        <f t="shared" si="19"/>
        <v>87.666666666666671</v>
      </c>
      <c r="O136" s="14" t="str">
        <f t="shared" si="20"/>
        <v>Excellent</v>
      </c>
      <c r="P136" s="15">
        <f t="shared" si="21"/>
        <v>17.533333333333335</v>
      </c>
      <c r="Q136" s="14" t="str">
        <f t="shared" si="22"/>
        <v>No</v>
      </c>
      <c r="R136" s="14" t="str">
        <f t="shared" si="23"/>
        <v>Normal Students</v>
      </c>
      <c r="S136" s="14" t="str">
        <f t="shared" si="24"/>
        <v>Balanced Student</v>
      </c>
      <c r="T136" s="14" t="str">
        <f t="shared" si="25"/>
        <v>High</v>
      </c>
      <c r="U136" s="21" t="str">
        <f t="shared" si="26"/>
        <v>A</v>
      </c>
    </row>
    <row r="137" spans="2:21">
      <c r="B137" s="20">
        <v>134</v>
      </c>
      <c r="C137" s="14" t="s">
        <v>33</v>
      </c>
      <c r="D137" s="14" t="s">
        <v>12</v>
      </c>
      <c r="E137" s="14">
        <v>3</v>
      </c>
      <c r="F137" s="14">
        <v>80</v>
      </c>
      <c r="G137" s="14">
        <v>75</v>
      </c>
      <c r="H137" s="14">
        <v>73</v>
      </c>
      <c r="I137" s="14">
        <v>78</v>
      </c>
      <c r="J137" s="14" t="s">
        <v>16</v>
      </c>
      <c r="K137" s="14">
        <v>7</v>
      </c>
      <c r="L137" s="14">
        <v>4</v>
      </c>
      <c r="M137" s="15">
        <f t="shared" si="18"/>
        <v>226</v>
      </c>
      <c r="N137" s="15">
        <f t="shared" si="19"/>
        <v>75.333333333333329</v>
      </c>
      <c r="O137" s="14" t="str">
        <f t="shared" si="20"/>
        <v>Good</v>
      </c>
      <c r="P137" s="15">
        <f t="shared" si="21"/>
        <v>25.111111111111111</v>
      </c>
      <c r="Q137" s="14" t="str">
        <f t="shared" si="22"/>
        <v>No</v>
      </c>
      <c r="R137" s="14" t="str">
        <f t="shared" si="23"/>
        <v>Normal Students</v>
      </c>
      <c r="S137" s="14" t="str">
        <f t="shared" si="24"/>
        <v>Unbalanced Student</v>
      </c>
      <c r="T137" s="14" t="str">
        <f t="shared" si="25"/>
        <v>High</v>
      </c>
      <c r="U137" s="21" t="str">
        <f t="shared" si="26"/>
        <v>B</v>
      </c>
    </row>
    <row r="138" spans="2:21">
      <c r="B138" s="20">
        <v>135</v>
      </c>
      <c r="C138" s="14" t="s">
        <v>144</v>
      </c>
      <c r="D138" s="14" t="s">
        <v>15</v>
      </c>
      <c r="E138" s="14">
        <v>4</v>
      </c>
      <c r="F138" s="14">
        <v>87</v>
      </c>
      <c r="G138" s="14">
        <v>83</v>
      </c>
      <c r="H138" s="14">
        <v>81</v>
      </c>
      <c r="I138" s="14">
        <v>85</v>
      </c>
      <c r="J138" s="14" t="s">
        <v>13</v>
      </c>
      <c r="K138" s="14">
        <v>6</v>
      </c>
      <c r="L138" s="14">
        <v>3</v>
      </c>
      <c r="M138" s="15">
        <f t="shared" si="18"/>
        <v>249</v>
      </c>
      <c r="N138" s="15">
        <f t="shared" si="19"/>
        <v>83</v>
      </c>
      <c r="O138" s="14" t="str">
        <f t="shared" si="20"/>
        <v>Excellent</v>
      </c>
      <c r="P138" s="15">
        <f t="shared" si="21"/>
        <v>20.75</v>
      </c>
      <c r="Q138" s="14" t="str">
        <f t="shared" si="22"/>
        <v>No</v>
      </c>
      <c r="R138" s="14" t="str">
        <f t="shared" si="23"/>
        <v>Normal Students</v>
      </c>
      <c r="S138" s="14" t="str">
        <f t="shared" si="24"/>
        <v>Balanced Student</v>
      </c>
      <c r="T138" s="14" t="str">
        <f t="shared" si="25"/>
        <v>High</v>
      </c>
      <c r="U138" s="21" t="str">
        <f t="shared" si="26"/>
        <v>A</v>
      </c>
    </row>
    <row r="139" spans="2:21">
      <c r="B139" s="20">
        <v>136</v>
      </c>
      <c r="C139" s="14" t="s">
        <v>145</v>
      </c>
      <c r="D139" s="14" t="s">
        <v>12</v>
      </c>
      <c r="E139" s="14">
        <v>2</v>
      </c>
      <c r="F139" s="14">
        <v>70</v>
      </c>
      <c r="G139" s="14">
        <v>62</v>
      </c>
      <c r="H139" s="14">
        <v>60</v>
      </c>
      <c r="I139" s="14">
        <v>66</v>
      </c>
      <c r="J139" s="14" t="s">
        <v>16</v>
      </c>
      <c r="K139" s="14">
        <v>8</v>
      </c>
      <c r="L139" s="14">
        <v>5</v>
      </c>
      <c r="M139" s="15">
        <f t="shared" si="18"/>
        <v>188</v>
      </c>
      <c r="N139" s="15">
        <f t="shared" si="19"/>
        <v>62.666666666666664</v>
      </c>
      <c r="O139" s="14" t="str">
        <f t="shared" si="20"/>
        <v>Good</v>
      </c>
      <c r="P139" s="15">
        <f t="shared" si="21"/>
        <v>31.333333333333332</v>
      </c>
      <c r="Q139" s="14" t="str">
        <f t="shared" si="22"/>
        <v>No</v>
      </c>
      <c r="R139" s="14" t="str">
        <f t="shared" si="23"/>
        <v>Normal Students</v>
      </c>
      <c r="S139" s="14" t="str">
        <f t="shared" si="24"/>
        <v>Unbalanced Student</v>
      </c>
      <c r="T139" s="14" t="str">
        <f t="shared" si="25"/>
        <v>Medium</v>
      </c>
      <c r="U139" s="21" t="str">
        <f t="shared" si="26"/>
        <v>C</v>
      </c>
    </row>
    <row r="140" spans="2:21">
      <c r="B140" s="20">
        <v>137</v>
      </c>
      <c r="C140" s="14" t="s">
        <v>146</v>
      </c>
      <c r="D140" s="14" t="s">
        <v>15</v>
      </c>
      <c r="E140" s="14">
        <v>5</v>
      </c>
      <c r="F140" s="14">
        <v>92</v>
      </c>
      <c r="G140" s="14">
        <v>88</v>
      </c>
      <c r="H140" s="14">
        <v>90</v>
      </c>
      <c r="I140" s="14">
        <v>91</v>
      </c>
      <c r="J140" s="14" t="s">
        <v>13</v>
      </c>
      <c r="K140" s="14">
        <v>6</v>
      </c>
      <c r="L140" s="14">
        <v>2</v>
      </c>
      <c r="M140" s="15">
        <f t="shared" si="18"/>
        <v>269</v>
      </c>
      <c r="N140" s="15">
        <f t="shared" si="19"/>
        <v>89.666666666666671</v>
      </c>
      <c r="O140" s="14" t="str">
        <f t="shared" si="20"/>
        <v>Excellent</v>
      </c>
      <c r="P140" s="15">
        <f t="shared" si="21"/>
        <v>17.933333333333334</v>
      </c>
      <c r="Q140" s="14" t="str">
        <f t="shared" si="22"/>
        <v>No</v>
      </c>
      <c r="R140" s="14" t="str">
        <f t="shared" si="23"/>
        <v>Normal Students</v>
      </c>
      <c r="S140" s="14" t="str">
        <f t="shared" si="24"/>
        <v>Balanced Student</v>
      </c>
      <c r="T140" s="14" t="str">
        <f t="shared" si="25"/>
        <v>High</v>
      </c>
      <c r="U140" s="21" t="str">
        <f t="shared" si="26"/>
        <v>A</v>
      </c>
    </row>
    <row r="141" spans="2:21">
      <c r="B141" s="20">
        <v>138</v>
      </c>
      <c r="C141" s="14" t="s">
        <v>147</v>
      </c>
      <c r="D141" s="14" t="s">
        <v>12</v>
      </c>
      <c r="E141" s="14">
        <v>3</v>
      </c>
      <c r="F141" s="14">
        <v>78</v>
      </c>
      <c r="G141" s="14">
        <v>72</v>
      </c>
      <c r="H141" s="14">
        <v>70</v>
      </c>
      <c r="I141" s="14">
        <v>75</v>
      </c>
      <c r="J141" s="14" t="s">
        <v>13</v>
      </c>
      <c r="K141" s="14">
        <v>7</v>
      </c>
      <c r="L141" s="14">
        <v>4</v>
      </c>
      <c r="M141" s="15">
        <f t="shared" si="18"/>
        <v>217</v>
      </c>
      <c r="N141" s="15">
        <f t="shared" si="19"/>
        <v>72.333333333333329</v>
      </c>
      <c r="O141" s="14" t="str">
        <f t="shared" si="20"/>
        <v>Good</v>
      </c>
      <c r="P141" s="15">
        <f t="shared" si="21"/>
        <v>24.111111111111111</v>
      </c>
      <c r="Q141" s="14" t="str">
        <f t="shared" si="22"/>
        <v>No</v>
      </c>
      <c r="R141" s="14" t="str">
        <f t="shared" si="23"/>
        <v>Normal Students</v>
      </c>
      <c r="S141" s="14" t="str">
        <f t="shared" si="24"/>
        <v>Unbalanced Student</v>
      </c>
      <c r="T141" s="14" t="str">
        <f t="shared" si="25"/>
        <v>Medium</v>
      </c>
      <c r="U141" s="21" t="str">
        <f t="shared" si="26"/>
        <v>B</v>
      </c>
    </row>
    <row r="142" spans="2:21">
      <c r="B142" s="20">
        <v>139</v>
      </c>
      <c r="C142" s="14" t="s">
        <v>148</v>
      </c>
      <c r="D142" s="14" t="s">
        <v>15</v>
      </c>
      <c r="E142" s="14">
        <v>4</v>
      </c>
      <c r="F142" s="14">
        <v>85</v>
      </c>
      <c r="G142" s="14">
        <v>80</v>
      </c>
      <c r="H142" s="14">
        <v>82</v>
      </c>
      <c r="I142" s="14">
        <v>84</v>
      </c>
      <c r="J142" s="14" t="s">
        <v>13</v>
      </c>
      <c r="K142" s="14">
        <v>7</v>
      </c>
      <c r="L142" s="14">
        <v>3</v>
      </c>
      <c r="M142" s="15">
        <f t="shared" si="18"/>
        <v>246</v>
      </c>
      <c r="N142" s="15">
        <f t="shared" si="19"/>
        <v>82</v>
      </c>
      <c r="O142" s="14" t="str">
        <f t="shared" si="20"/>
        <v>Excellent</v>
      </c>
      <c r="P142" s="15">
        <f t="shared" si="21"/>
        <v>20.5</v>
      </c>
      <c r="Q142" s="14" t="str">
        <f t="shared" si="22"/>
        <v>No</v>
      </c>
      <c r="R142" s="14" t="str">
        <f t="shared" si="23"/>
        <v>Normal Students</v>
      </c>
      <c r="S142" s="14" t="str">
        <f t="shared" si="24"/>
        <v>Balanced Student</v>
      </c>
      <c r="T142" s="14" t="str">
        <f t="shared" si="25"/>
        <v>High</v>
      </c>
      <c r="U142" s="21" t="str">
        <f t="shared" si="26"/>
        <v>A</v>
      </c>
    </row>
    <row r="143" spans="2:21">
      <c r="B143" s="20">
        <v>140</v>
      </c>
      <c r="C143" s="14" t="s">
        <v>149</v>
      </c>
      <c r="D143" s="14" t="s">
        <v>12</v>
      </c>
      <c r="E143" s="14">
        <v>6</v>
      </c>
      <c r="F143" s="14">
        <v>94</v>
      </c>
      <c r="G143" s="14">
        <v>91</v>
      </c>
      <c r="H143" s="14">
        <v>90</v>
      </c>
      <c r="I143" s="14">
        <v>92</v>
      </c>
      <c r="J143" s="14" t="s">
        <v>16</v>
      </c>
      <c r="K143" s="14">
        <v>6</v>
      </c>
      <c r="L143" s="14">
        <v>2</v>
      </c>
      <c r="M143" s="15">
        <f t="shared" si="18"/>
        <v>273</v>
      </c>
      <c r="N143" s="15">
        <f t="shared" si="19"/>
        <v>91</v>
      </c>
      <c r="O143" s="14" t="str">
        <f t="shared" si="20"/>
        <v>Excellent</v>
      </c>
      <c r="P143" s="15">
        <f t="shared" si="21"/>
        <v>15.166666666666666</v>
      </c>
      <c r="Q143" s="14" t="str">
        <f t="shared" si="22"/>
        <v>No</v>
      </c>
      <c r="R143" s="14" t="str">
        <f t="shared" si="23"/>
        <v>Normal Students</v>
      </c>
      <c r="S143" s="14" t="str">
        <f t="shared" si="24"/>
        <v>Balanced Student</v>
      </c>
      <c r="T143" s="14" t="str">
        <f t="shared" si="25"/>
        <v>High</v>
      </c>
      <c r="U143" s="21" t="str">
        <f t="shared" si="26"/>
        <v>A</v>
      </c>
    </row>
    <row r="144" spans="2:21">
      <c r="B144" s="20">
        <v>141</v>
      </c>
      <c r="C144" s="14" t="s">
        <v>150</v>
      </c>
      <c r="D144" s="14" t="s">
        <v>15</v>
      </c>
      <c r="E144" s="14">
        <v>3</v>
      </c>
      <c r="F144" s="14">
        <v>79</v>
      </c>
      <c r="G144" s="14">
        <v>74</v>
      </c>
      <c r="H144" s="14">
        <v>72</v>
      </c>
      <c r="I144" s="14">
        <v>76</v>
      </c>
      <c r="J144" s="14" t="s">
        <v>13</v>
      </c>
      <c r="K144" s="14">
        <v>7</v>
      </c>
      <c r="L144" s="14">
        <v>4</v>
      </c>
      <c r="M144" s="15">
        <f t="shared" si="18"/>
        <v>222</v>
      </c>
      <c r="N144" s="15">
        <f t="shared" si="19"/>
        <v>74</v>
      </c>
      <c r="O144" s="14" t="str">
        <f t="shared" si="20"/>
        <v>Good</v>
      </c>
      <c r="P144" s="15">
        <f t="shared" si="21"/>
        <v>24.666666666666668</v>
      </c>
      <c r="Q144" s="14" t="str">
        <f t="shared" si="22"/>
        <v>No</v>
      </c>
      <c r="R144" s="14" t="str">
        <f t="shared" si="23"/>
        <v>Normal Students</v>
      </c>
      <c r="S144" s="14" t="str">
        <f t="shared" si="24"/>
        <v>Unbalanced Student</v>
      </c>
      <c r="T144" s="14" t="str">
        <f t="shared" si="25"/>
        <v>Medium</v>
      </c>
      <c r="U144" s="21" t="str">
        <f t="shared" si="26"/>
        <v>B</v>
      </c>
    </row>
    <row r="145" spans="2:21">
      <c r="B145" s="20">
        <v>142</v>
      </c>
      <c r="C145" s="14" t="s">
        <v>151</v>
      </c>
      <c r="D145" s="14" t="s">
        <v>12</v>
      </c>
      <c r="E145" s="14">
        <v>2</v>
      </c>
      <c r="F145" s="14">
        <v>72</v>
      </c>
      <c r="G145" s="14">
        <v>65</v>
      </c>
      <c r="H145" s="14">
        <v>64</v>
      </c>
      <c r="I145" s="14">
        <v>68</v>
      </c>
      <c r="J145" s="14" t="s">
        <v>16</v>
      </c>
      <c r="K145" s="14">
        <v>8</v>
      </c>
      <c r="L145" s="14">
        <v>5</v>
      </c>
      <c r="M145" s="15">
        <f t="shared" si="18"/>
        <v>197</v>
      </c>
      <c r="N145" s="15">
        <f t="shared" si="19"/>
        <v>65.666666666666671</v>
      </c>
      <c r="O145" s="14" t="str">
        <f t="shared" si="20"/>
        <v>Good</v>
      </c>
      <c r="P145" s="15">
        <f t="shared" si="21"/>
        <v>32.833333333333336</v>
      </c>
      <c r="Q145" s="14" t="str">
        <f t="shared" si="22"/>
        <v>No</v>
      </c>
      <c r="R145" s="14" t="str">
        <f t="shared" si="23"/>
        <v>Normal Students</v>
      </c>
      <c r="S145" s="14" t="str">
        <f t="shared" si="24"/>
        <v>Unbalanced Student</v>
      </c>
      <c r="T145" s="14" t="str">
        <f t="shared" si="25"/>
        <v>Medium</v>
      </c>
      <c r="U145" s="21" t="str">
        <f t="shared" si="26"/>
        <v>C</v>
      </c>
    </row>
    <row r="146" spans="2:21">
      <c r="B146" s="20">
        <v>143</v>
      </c>
      <c r="C146" s="14" t="s">
        <v>114</v>
      </c>
      <c r="D146" s="14" t="s">
        <v>15</v>
      </c>
      <c r="E146" s="14">
        <v>5</v>
      </c>
      <c r="F146" s="14">
        <v>90</v>
      </c>
      <c r="G146" s="14">
        <v>86</v>
      </c>
      <c r="H146" s="14">
        <v>88</v>
      </c>
      <c r="I146" s="14">
        <v>89</v>
      </c>
      <c r="J146" s="14" t="s">
        <v>13</v>
      </c>
      <c r="K146" s="14">
        <v>6</v>
      </c>
      <c r="L146" s="14">
        <v>2</v>
      </c>
      <c r="M146" s="15">
        <f t="shared" si="18"/>
        <v>263</v>
      </c>
      <c r="N146" s="15">
        <f t="shared" si="19"/>
        <v>87.666666666666671</v>
      </c>
      <c r="O146" s="14" t="str">
        <f t="shared" si="20"/>
        <v>Excellent</v>
      </c>
      <c r="P146" s="15">
        <f t="shared" si="21"/>
        <v>17.533333333333335</v>
      </c>
      <c r="Q146" s="14" t="str">
        <f t="shared" si="22"/>
        <v>No</v>
      </c>
      <c r="R146" s="14" t="str">
        <f t="shared" si="23"/>
        <v>Normal Students</v>
      </c>
      <c r="S146" s="14" t="str">
        <f t="shared" si="24"/>
        <v>Balanced Student</v>
      </c>
      <c r="T146" s="14" t="str">
        <f t="shared" si="25"/>
        <v>High</v>
      </c>
      <c r="U146" s="21" t="str">
        <f t="shared" si="26"/>
        <v>A</v>
      </c>
    </row>
    <row r="147" spans="2:21">
      <c r="B147" s="20">
        <v>144</v>
      </c>
      <c r="C147" s="14" t="s">
        <v>152</v>
      </c>
      <c r="D147" s="14" t="s">
        <v>12</v>
      </c>
      <c r="E147" s="14">
        <v>3</v>
      </c>
      <c r="F147" s="14">
        <v>80</v>
      </c>
      <c r="G147" s="14">
        <v>75</v>
      </c>
      <c r="H147" s="14">
        <v>73</v>
      </c>
      <c r="I147" s="14">
        <v>78</v>
      </c>
      <c r="J147" s="14" t="s">
        <v>16</v>
      </c>
      <c r="K147" s="14">
        <v>7</v>
      </c>
      <c r="L147" s="14">
        <v>4</v>
      </c>
      <c r="M147" s="15">
        <f t="shared" si="18"/>
        <v>226</v>
      </c>
      <c r="N147" s="15">
        <f t="shared" si="19"/>
        <v>75.333333333333329</v>
      </c>
      <c r="O147" s="14" t="str">
        <f t="shared" si="20"/>
        <v>Good</v>
      </c>
      <c r="P147" s="15">
        <f t="shared" si="21"/>
        <v>25.111111111111111</v>
      </c>
      <c r="Q147" s="14" t="str">
        <f t="shared" si="22"/>
        <v>No</v>
      </c>
      <c r="R147" s="14" t="str">
        <f t="shared" si="23"/>
        <v>Normal Students</v>
      </c>
      <c r="S147" s="14" t="str">
        <f t="shared" si="24"/>
        <v>Unbalanced Student</v>
      </c>
      <c r="T147" s="14" t="str">
        <f t="shared" si="25"/>
        <v>High</v>
      </c>
      <c r="U147" s="21" t="str">
        <f t="shared" si="26"/>
        <v>B</v>
      </c>
    </row>
    <row r="148" spans="2:21">
      <c r="B148" s="20">
        <v>145</v>
      </c>
      <c r="C148" s="14" t="s">
        <v>153</v>
      </c>
      <c r="D148" s="14" t="s">
        <v>15</v>
      </c>
      <c r="E148" s="14">
        <v>4</v>
      </c>
      <c r="F148" s="14">
        <v>87</v>
      </c>
      <c r="G148" s="14">
        <v>83</v>
      </c>
      <c r="H148" s="14">
        <v>81</v>
      </c>
      <c r="I148" s="14">
        <v>85</v>
      </c>
      <c r="J148" s="14" t="s">
        <v>13</v>
      </c>
      <c r="K148" s="14">
        <v>6</v>
      </c>
      <c r="L148" s="14">
        <v>3</v>
      </c>
      <c r="M148" s="15">
        <f t="shared" si="18"/>
        <v>249</v>
      </c>
      <c r="N148" s="15">
        <f t="shared" si="19"/>
        <v>83</v>
      </c>
      <c r="O148" s="14" t="str">
        <f t="shared" si="20"/>
        <v>Excellent</v>
      </c>
      <c r="P148" s="15">
        <f t="shared" si="21"/>
        <v>20.75</v>
      </c>
      <c r="Q148" s="14" t="str">
        <f t="shared" si="22"/>
        <v>No</v>
      </c>
      <c r="R148" s="14" t="str">
        <f t="shared" si="23"/>
        <v>Normal Students</v>
      </c>
      <c r="S148" s="14" t="str">
        <f t="shared" si="24"/>
        <v>Balanced Student</v>
      </c>
      <c r="T148" s="14" t="str">
        <f t="shared" si="25"/>
        <v>High</v>
      </c>
      <c r="U148" s="21" t="str">
        <f t="shared" si="26"/>
        <v>A</v>
      </c>
    </row>
    <row r="149" spans="2:21">
      <c r="B149" s="20">
        <v>146</v>
      </c>
      <c r="C149" s="14" t="s">
        <v>35</v>
      </c>
      <c r="D149" s="14" t="s">
        <v>12</v>
      </c>
      <c r="E149" s="14">
        <v>2</v>
      </c>
      <c r="F149" s="14">
        <v>70</v>
      </c>
      <c r="G149" s="14">
        <v>62</v>
      </c>
      <c r="H149" s="14">
        <v>60</v>
      </c>
      <c r="I149" s="14">
        <v>66</v>
      </c>
      <c r="J149" s="14" t="s">
        <v>16</v>
      </c>
      <c r="K149" s="14">
        <v>8</v>
      </c>
      <c r="L149" s="14">
        <v>5</v>
      </c>
      <c r="M149" s="15">
        <f t="shared" si="18"/>
        <v>188</v>
      </c>
      <c r="N149" s="15">
        <f t="shared" si="19"/>
        <v>62.666666666666664</v>
      </c>
      <c r="O149" s="14" t="str">
        <f t="shared" si="20"/>
        <v>Good</v>
      </c>
      <c r="P149" s="15">
        <f t="shared" si="21"/>
        <v>31.333333333333332</v>
      </c>
      <c r="Q149" s="14" t="str">
        <f t="shared" si="22"/>
        <v>No</v>
      </c>
      <c r="R149" s="14" t="str">
        <f t="shared" si="23"/>
        <v>Normal Students</v>
      </c>
      <c r="S149" s="14" t="str">
        <f t="shared" si="24"/>
        <v>Unbalanced Student</v>
      </c>
      <c r="T149" s="14" t="str">
        <f t="shared" si="25"/>
        <v>Medium</v>
      </c>
      <c r="U149" s="21" t="str">
        <f t="shared" si="26"/>
        <v>C</v>
      </c>
    </row>
    <row r="150" spans="2:21">
      <c r="B150" s="20">
        <v>147</v>
      </c>
      <c r="C150" s="14" t="s">
        <v>154</v>
      </c>
      <c r="D150" s="14" t="s">
        <v>15</v>
      </c>
      <c r="E150" s="14">
        <v>5</v>
      </c>
      <c r="F150" s="14">
        <v>92</v>
      </c>
      <c r="G150" s="14">
        <v>88</v>
      </c>
      <c r="H150" s="14">
        <v>90</v>
      </c>
      <c r="I150" s="14">
        <v>91</v>
      </c>
      <c r="J150" s="14" t="s">
        <v>13</v>
      </c>
      <c r="K150" s="14">
        <v>6</v>
      </c>
      <c r="L150" s="14">
        <v>2</v>
      </c>
      <c r="M150" s="15">
        <f t="shared" si="18"/>
        <v>269</v>
      </c>
      <c r="N150" s="15">
        <f t="shared" si="19"/>
        <v>89.666666666666671</v>
      </c>
      <c r="O150" s="14" t="str">
        <f t="shared" si="20"/>
        <v>Excellent</v>
      </c>
      <c r="P150" s="15">
        <f t="shared" si="21"/>
        <v>17.933333333333334</v>
      </c>
      <c r="Q150" s="14" t="str">
        <f t="shared" si="22"/>
        <v>No</v>
      </c>
      <c r="R150" s="14" t="str">
        <f t="shared" si="23"/>
        <v>Normal Students</v>
      </c>
      <c r="S150" s="14" t="str">
        <f t="shared" si="24"/>
        <v>Balanced Student</v>
      </c>
      <c r="T150" s="14" t="str">
        <f t="shared" si="25"/>
        <v>High</v>
      </c>
      <c r="U150" s="21" t="str">
        <f t="shared" si="26"/>
        <v>A</v>
      </c>
    </row>
    <row r="151" spans="2:21">
      <c r="B151" s="20">
        <v>148</v>
      </c>
      <c r="C151" s="14" t="s">
        <v>71</v>
      </c>
      <c r="D151" s="14" t="s">
        <v>12</v>
      </c>
      <c r="E151" s="14">
        <v>3</v>
      </c>
      <c r="F151" s="14">
        <v>78</v>
      </c>
      <c r="G151" s="14">
        <v>72</v>
      </c>
      <c r="H151" s="14">
        <v>70</v>
      </c>
      <c r="I151" s="14">
        <v>75</v>
      </c>
      <c r="J151" s="14" t="s">
        <v>13</v>
      </c>
      <c r="K151" s="14">
        <v>7</v>
      </c>
      <c r="L151" s="14">
        <v>4</v>
      </c>
      <c r="M151" s="15">
        <f t="shared" si="18"/>
        <v>217</v>
      </c>
      <c r="N151" s="15">
        <f t="shared" si="19"/>
        <v>72.333333333333329</v>
      </c>
      <c r="O151" s="14" t="str">
        <f t="shared" si="20"/>
        <v>Good</v>
      </c>
      <c r="P151" s="15">
        <f t="shared" si="21"/>
        <v>24.111111111111111</v>
      </c>
      <c r="Q151" s="14" t="str">
        <f t="shared" si="22"/>
        <v>No</v>
      </c>
      <c r="R151" s="14" t="str">
        <f t="shared" si="23"/>
        <v>Normal Students</v>
      </c>
      <c r="S151" s="14" t="str">
        <f t="shared" si="24"/>
        <v>Unbalanced Student</v>
      </c>
      <c r="T151" s="14" t="str">
        <f t="shared" si="25"/>
        <v>Medium</v>
      </c>
      <c r="U151" s="21" t="str">
        <f t="shared" si="26"/>
        <v>B</v>
      </c>
    </row>
    <row r="152" spans="2:21">
      <c r="B152" s="20">
        <v>149</v>
      </c>
      <c r="C152" s="14" t="s">
        <v>155</v>
      </c>
      <c r="D152" s="14" t="s">
        <v>15</v>
      </c>
      <c r="E152" s="14">
        <v>4</v>
      </c>
      <c r="F152" s="14">
        <v>85</v>
      </c>
      <c r="G152" s="14">
        <v>80</v>
      </c>
      <c r="H152" s="14">
        <v>82</v>
      </c>
      <c r="I152" s="14">
        <v>84</v>
      </c>
      <c r="J152" s="14" t="s">
        <v>13</v>
      </c>
      <c r="K152" s="14">
        <v>7</v>
      </c>
      <c r="L152" s="14">
        <v>3</v>
      </c>
      <c r="M152" s="15">
        <f t="shared" si="18"/>
        <v>246</v>
      </c>
      <c r="N152" s="15">
        <f t="shared" si="19"/>
        <v>82</v>
      </c>
      <c r="O152" s="14" t="str">
        <f t="shared" si="20"/>
        <v>Excellent</v>
      </c>
      <c r="P152" s="15">
        <f t="shared" si="21"/>
        <v>20.5</v>
      </c>
      <c r="Q152" s="14" t="str">
        <f t="shared" si="22"/>
        <v>No</v>
      </c>
      <c r="R152" s="14" t="str">
        <f t="shared" si="23"/>
        <v>Normal Students</v>
      </c>
      <c r="S152" s="14" t="str">
        <f t="shared" si="24"/>
        <v>Balanced Student</v>
      </c>
      <c r="T152" s="14" t="str">
        <f t="shared" si="25"/>
        <v>High</v>
      </c>
      <c r="U152" s="21" t="str">
        <f t="shared" si="26"/>
        <v>A</v>
      </c>
    </row>
    <row r="153" spans="2:21">
      <c r="B153" s="20">
        <v>150</v>
      </c>
      <c r="C153" s="14" t="s">
        <v>156</v>
      </c>
      <c r="D153" s="14" t="s">
        <v>12</v>
      </c>
      <c r="E153" s="14">
        <v>6</v>
      </c>
      <c r="F153" s="14">
        <v>94</v>
      </c>
      <c r="G153" s="14">
        <v>91</v>
      </c>
      <c r="H153" s="14">
        <v>90</v>
      </c>
      <c r="I153" s="14">
        <v>92</v>
      </c>
      <c r="J153" s="14" t="s">
        <v>16</v>
      </c>
      <c r="K153" s="14">
        <v>6</v>
      </c>
      <c r="L153" s="14">
        <v>2</v>
      </c>
      <c r="M153" s="15">
        <f t="shared" si="18"/>
        <v>273</v>
      </c>
      <c r="N153" s="15">
        <f t="shared" si="19"/>
        <v>91</v>
      </c>
      <c r="O153" s="14" t="str">
        <f t="shared" si="20"/>
        <v>Excellent</v>
      </c>
      <c r="P153" s="15">
        <f t="shared" si="21"/>
        <v>15.166666666666666</v>
      </c>
      <c r="Q153" s="14" t="str">
        <f t="shared" si="22"/>
        <v>No</v>
      </c>
      <c r="R153" s="14" t="str">
        <f t="shared" si="23"/>
        <v>Normal Students</v>
      </c>
      <c r="S153" s="14" t="str">
        <f t="shared" si="24"/>
        <v>Balanced Student</v>
      </c>
      <c r="T153" s="14" t="str">
        <f t="shared" si="25"/>
        <v>High</v>
      </c>
      <c r="U153" s="21" t="str">
        <f t="shared" si="26"/>
        <v>A</v>
      </c>
    </row>
    <row r="154" spans="2:21">
      <c r="B154" s="20">
        <v>151</v>
      </c>
      <c r="C154" s="14" t="s">
        <v>40</v>
      </c>
      <c r="D154" s="14" t="s">
        <v>15</v>
      </c>
      <c r="E154" s="14">
        <v>3</v>
      </c>
      <c r="F154" s="14">
        <v>79</v>
      </c>
      <c r="G154" s="14">
        <v>74</v>
      </c>
      <c r="H154" s="14">
        <v>72</v>
      </c>
      <c r="I154" s="14">
        <v>76</v>
      </c>
      <c r="J154" s="14" t="s">
        <v>13</v>
      </c>
      <c r="K154" s="14">
        <v>7</v>
      </c>
      <c r="L154" s="14">
        <v>4</v>
      </c>
      <c r="M154" s="15">
        <f t="shared" si="18"/>
        <v>222</v>
      </c>
      <c r="N154" s="15">
        <f t="shared" si="19"/>
        <v>74</v>
      </c>
      <c r="O154" s="14" t="str">
        <f t="shared" si="20"/>
        <v>Good</v>
      </c>
      <c r="P154" s="15">
        <f t="shared" si="21"/>
        <v>24.666666666666668</v>
      </c>
      <c r="Q154" s="14" t="str">
        <f t="shared" si="22"/>
        <v>No</v>
      </c>
      <c r="R154" s="14" t="str">
        <f t="shared" si="23"/>
        <v>Normal Students</v>
      </c>
      <c r="S154" s="14" t="str">
        <f t="shared" si="24"/>
        <v>Unbalanced Student</v>
      </c>
      <c r="T154" s="14" t="str">
        <f t="shared" si="25"/>
        <v>Medium</v>
      </c>
      <c r="U154" s="21" t="str">
        <f t="shared" si="26"/>
        <v>B</v>
      </c>
    </row>
    <row r="155" spans="2:21">
      <c r="B155" s="20">
        <v>152</v>
      </c>
      <c r="C155" s="14" t="s">
        <v>157</v>
      </c>
      <c r="D155" s="14" t="s">
        <v>12</v>
      </c>
      <c r="E155" s="14">
        <v>2</v>
      </c>
      <c r="F155" s="14">
        <v>72</v>
      </c>
      <c r="G155" s="14">
        <v>65</v>
      </c>
      <c r="H155" s="14">
        <v>64</v>
      </c>
      <c r="I155" s="14">
        <v>68</v>
      </c>
      <c r="J155" s="14" t="s">
        <v>16</v>
      </c>
      <c r="K155" s="14">
        <v>8</v>
      </c>
      <c r="L155" s="14">
        <v>5</v>
      </c>
      <c r="M155" s="15">
        <f t="shared" si="18"/>
        <v>197</v>
      </c>
      <c r="N155" s="15">
        <f t="shared" si="19"/>
        <v>65.666666666666671</v>
      </c>
      <c r="O155" s="14" t="str">
        <f t="shared" si="20"/>
        <v>Good</v>
      </c>
      <c r="P155" s="15">
        <f t="shared" si="21"/>
        <v>32.833333333333336</v>
      </c>
      <c r="Q155" s="14" t="str">
        <f t="shared" si="22"/>
        <v>No</v>
      </c>
      <c r="R155" s="14" t="str">
        <f t="shared" si="23"/>
        <v>Normal Students</v>
      </c>
      <c r="S155" s="14" t="str">
        <f t="shared" si="24"/>
        <v>Unbalanced Student</v>
      </c>
      <c r="T155" s="14" t="str">
        <f t="shared" si="25"/>
        <v>Medium</v>
      </c>
      <c r="U155" s="21" t="str">
        <f t="shared" si="26"/>
        <v>C</v>
      </c>
    </row>
    <row r="156" spans="2:21">
      <c r="B156" s="20">
        <v>153</v>
      </c>
      <c r="C156" s="14" t="s">
        <v>26</v>
      </c>
      <c r="D156" s="14" t="s">
        <v>15</v>
      </c>
      <c r="E156" s="14">
        <v>5</v>
      </c>
      <c r="F156" s="14">
        <v>90</v>
      </c>
      <c r="G156" s="14">
        <v>86</v>
      </c>
      <c r="H156" s="14">
        <v>88</v>
      </c>
      <c r="I156" s="14">
        <v>89</v>
      </c>
      <c r="J156" s="14" t="s">
        <v>13</v>
      </c>
      <c r="K156" s="14">
        <v>6</v>
      </c>
      <c r="L156" s="14">
        <v>2</v>
      </c>
      <c r="M156" s="15">
        <f t="shared" si="18"/>
        <v>263</v>
      </c>
      <c r="N156" s="15">
        <f t="shared" si="19"/>
        <v>87.666666666666671</v>
      </c>
      <c r="O156" s="14" t="str">
        <f t="shared" si="20"/>
        <v>Excellent</v>
      </c>
      <c r="P156" s="15">
        <f t="shared" si="21"/>
        <v>17.533333333333335</v>
      </c>
      <c r="Q156" s="14" t="str">
        <f t="shared" si="22"/>
        <v>No</v>
      </c>
      <c r="R156" s="14" t="str">
        <f t="shared" si="23"/>
        <v>Normal Students</v>
      </c>
      <c r="S156" s="14" t="str">
        <f t="shared" si="24"/>
        <v>Balanced Student</v>
      </c>
      <c r="T156" s="14" t="str">
        <f t="shared" si="25"/>
        <v>High</v>
      </c>
      <c r="U156" s="21" t="str">
        <f t="shared" si="26"/>
        <v>A</v>
      </c>
    </row>
    <row r="157" spans="2:21">
      <c r="B157" s="20">
        <v>154</v>
      </c>
      <c r="C157" s="14" t="s">
        <v>71</v>
      </c>
      <c r="D157" s="14" t="s">
        <v>12</v>
      </c>
      <c r="E157" s="14">
        <v>4</v>
      </c>
      <c r="F157" s="14">
        <v>88</v>
      </c>
      <c r="G157" s="14">
        <v>82</v>
      </c>
      <c r="H157" s="14">
        <v>80</v>
      </c>
      <c r="I157" s="14">
        <v>85</v>
      </c>
      <c r="J157" s="14" t="s">
        <v>13</v>
      </c>
      <c r="K157" s="14">
        <v>7</v>
      </c>
      <c r="L157" s="14">
        <v>3</v>
      </c>
      <c r="M157" s="15">
        <f t="shared" si="18"/>
        <v>247</v>
      </c>
      <c r="N157" s="15">
        <f t="shared" si="19"/>
        <v>82.333333333333329</v>
      </c>
      <c r="O157" s="14" t="str">
        <f t="shared" si="20"/>
        <v>Excellent</v>
      </c>
      <c r="P157" s="15">
        <f t="shared" si="21"/>
        <v>20.583333333333332</v>
      </c>
      <c r="Q157" s="14" t="str">
        <f t="shared" si="22"/>
        <v>No</v>
      </c>
      <c r="R157" s="14" t="str">
        <f t="shared" si="23"/>
        <v>Normal Students</v>
      </c>
      <c r="S157" s="14" t="str">
        <f t="shared" si="24"/>
        <v>Balanced Student</v>
      </c>
      <c r="T157" s="14" t="str">
        <f t="shared" si="25"/>
        <v>High</v>
      </c>
      <c r="U157" s="21" t="str">
        <f t="shared" si="26"/>
        <v>A</v>
      </c>
    </row>
    <row r="158" spans="2:21">
      <c r="B158" s="20">
        <v>155</v>
      </c>
      <c r="C158" s="14" t="s">
        <v>72</v>
      </c>
      <c r="D158" s="14" t="s">
        <v>12</v>
      </c>
      <c r="E158" s="14">
        <v>2</v>
      </c>
      <c r="F158" s="14">
        <v>75</v>
      </c>
      <c r="G158" s="14">
        <v>65</v>
      </c>
      <c r="H158" s="14">
        <v>60</v>
      </c>
      <c r="I158" s="14">
        <v>68</v>
      </c>
      <c r="J158" s="14" t="s">
        <v>16</v>
      </c>
      <c r="K158" s="14">
        <v>8</v>
      </c>
      <c r="L158" s="14">
        <v>5</v>
      </c>
      <c r="M158" s="15">
        <f t="shared" si="18"/>
        <v>193</v>
      </c>
      <c r="N158" s="15">
        <f t="shared" si="19"/>
        <v>64.333333333333329</v>
      </c>
      <c r="O158" s="14" t="str">
        <f t="shared" si="20"/>
        <v>Good</v>
      </c>
      <c r="P158" s="15">
        <f t="shared" si="21"/>
        <v>32.166666666666664</v>
      </c>
      <c r="Q158" s="14" t="str">
        <f t="shared" si="22"/>
        <v>No</v>
      </c>
      <c r="R158" s="14" t="str">
        <f t="shared" si="23"/>
        <v>Normal Students</v>
      </c>
      <c r="S158" s="14" t="str">
        <f t="shared" si="24"/>
        <v>Unbalanced Student</v>
      </c>
      <c r="T158" s="14" t="str">
        <f t="shared" si="25"/>
        <v>Medium</v>
      </c>
      <c r="U158" s="21" t="str">
        <f t="shared" si="26"/>
        <v>C</v>
      </c>
    </row>
    <row r="159" spans="2:21">
      <c r="B159" s="20">
        <v>156</v>
      </c>
      <c r="C159" s="14" t="s">
        <v>73</v>
      </c>
      <c r="D159" s="14" t="s">
        <v>12</v>
      </c>
      <c r="E159" s="14">
        <v>3</v>
      </c>
      <c r="F159" s="14">
        <v>80</v>
      </c>
      <c r="G159" s="14">
        <v>75</v>
      </c>
      <c r="H159" s="14">
        <v>72</v>
      </c>
      <c r="I159" s="14">
        <v>78</v>
      </c>
      <c r="J159" s="14" t="s">
        <v>13</v>
      </c>
      <c r="K159" s="14">
        <v>7</v>
      </c>
      <c r="L159" s="14">
        <v>4</v>
      </c>
      <c r="M159" s="15">
        <f t="shared" si="18"/>
        <v>225</v>
      </c>
      <c r="N159" s="15">
        <f t="shared" si="19"/>
        <v>75</v>
      </c>
      <c r="O159" s="14" t="str">
        <f t="shared" si="20"/>
        <v>Good</v>
      </c>
      <c r="P159" s="15">
        <f t="shared" si="21"/>
        <v>25</v>
      </c>
      <c r="Q159" s="14" t="str">
        <f t="shared" si="22"/>
        <v>No</v>
      </c>
      <c r="R159" s="14" t="str">
        <f t="shared" si="23"/>
        <v>Normal Students</v>
      </c>
      <c r="S159" s="14" t="str">
        <f t="shared" si="24"/>
        <v>Unbalanced Student</v>
      </c>
      <c r="T159" s="14" t="str">
        <f t="shared" si="25"/>
        <v>High</v>
      </c>
      <c r="U159" s="21" t="str">
        <f t="shared" si="26"/>
        <v>B</v>
      </c>
    </row>
    <row r="160" spans="2:21">
      <c r="B160" s="20">
        <v>157</v>
      </c>
      <c r="C160" s="14" t="s">
        <v>48</v>
      </c>
      <c r="D160" s="14" t="s">
        <v>15</v>
      </c>
      <c r="E160" s="14">
        <v>5</v>
      </c>
      <c r="F160" s="14">
        <v>90</v>
      </c>
      <c r="G160" s="14">
        <v>86</v>
      </c>
      <c r="H160" s="14">
        <v>88</v>
      </c>
      <c r="I160" s="14">
        <v>91</v>
      </c>
      <c r="J160" s="14" t="s">
        <v>13</v>
      </c>
      <c r="K160" s="14">
        <v>6</v>
      </c>
      <c r="L160" s="14">
        <v>2</v>
      </c>
      <c r="M160" s="15">
        <f t="shared" si="18"/>
        <v>265</v>
      </c>
      <c r="N160" s="15">
        <f t="shared" si="19"/>
        <v>88.333333333333329</v>
      </c>
      <c r="O160" s="14" t="str">
        <f t="shared" si="20"/>
        <v>Excellent</v>
      </c>
      <c r="P160" s="15">
        <f t="shared" si="21"/>
        <v>17.666666666666664</v>
      </c>
      <c r="Q160" s="14" t="str">
        <f t="shared" si="22"/>
        <v>No</v>
      </c>
      <c r="R160" s="14" t="str">
        <f t="shared" si="23"/>
        <v>Normal Students</v>
      </c>
      <c r="S160" s="14" t="str">
        <f t="shared" si="24"/>
        <v>Balanced Student</v>
      </c>
      <c r="T160" s="14" t="str">
        <f t="shared" si="25"/>
        <v>High</v>
      </c>
      <c r="U160" s="21" t="str">
        <f t="shared" si="26"/>
        <v>A</v>
      </c>
    </row>
    <row r="161" spans="2:21">
      <c r="B161" s="20">
        <v>158</v>
      </c>
      <c r="C161" s="14" t="s">
        <v>74</v>
      </c>
      <c r="D161" s="14" t="s">
        <v>15</v>
      </c>
      <c r="E161" s="14">
        <v>4</v>
      </c>
      <c r="F161" s="14">
        <v>85</v>
      </c>
      <c r="G161" s="14">
        <v>80</v>
      </c>
      <c r="H161" s="14">
        <v>82</v>
      </c>
      <c r="I161" s="14">
        <v>84</v>
      </c>
      <c r="J161" s="14" t="s">
        <v>13</v>
      </c>
      <c r="K161" s="14">
        <v>7</v>
      </c>
      <c r="L161" s="14">
        <v>3</v>
      </c>
      <c r="M161" s="15">
        <f t="shared" si="18"/>
        <v>246</v>
      </c>
      <c r="N161" s="15">
        <f t="shared" si="19"/>
        <v>82</v>
      </c>
      <c r="O161" s="14" t="str">
        <f t="shared" si="20"/>
        <v>Excellent</v>
      </c>
      <c r="P161" s="15">
        <f t="shared" si="21"/>
        <v>20.5</v>
      </c>
      <c r="Q161" s="14" t="str">
        <f t="shared" si="22"/>
        <v>No</v>
      </c>
      <c r="R161" s="14" t="str">
        <f t="shared" si="23"/>
        <v>Normal Students</v>
      </c>
      <c r="S161" s="14" t="str">
        <f t="shared" si="24"/>
        <v>Balanced Student</v>
      </c>
      <c r="T161" s="14" t="str">
        <f t="shared" si="25"/>
        <v>High</v>
      </c>
      <c r="U161" s="21" t="str">
        <f t="shared" si="26"/>
        <v>A</v>
      </c>
    </row>
    <row r="162" spans="2:21">
      <c r="B162" s="20">
        <v>159</v>
      </c>
      <c r="C162" s="14" t="s">
        <v>75</v>
      </c>
      <c r="D162" s="14" t="s">
        <v>12</v>
      </c>
      <c r="E162" s="14">
        <v>1</v>
      </c>
      <c r="F162" s="14">
        <v>60</v>
      </c>
      <c r="G162" s="14">
        <v>50</v>
      </c>
      <c r="H162" s="14">
        <v>48</v>
      </c>
      <c r="I162" s="14">
        <v>55</v>
      </c>
      <c r="J162" s="14" t="s">
        <v>16</v>
      </c>
      <c r="K162" s="14">
        <v>8</v>
      </c>
      <c r="L162" s="14">
        <v>6</v>
      </c>
      <c r="M162" s="15">
        <f t="shared" si="18"/>
        <v>153</v>
      </c>
      <c r="N162" s="15">
        <f t="shared" si="19"/>
        <v>51</v>
      </c>
      <c r="O162" s="14" t="str">
        <f t="shared" si="20"/>
        <v>Needs Improvement</v>
      </c>
      <c r="P162" s="15">
        <f t="shared" si="21"/>
        <v>51</v>
      </c>
      <c r="Q162" s="14" t="str">
        <f t="shared" si="22"/>
        <v>Yes</v>
      </c>
      <c r="R162" s="14" t="str">
        <f t="shared" si="23"/>
        <v>Normal Students</v>
      </c>
      <c r="S162" s="14" t="str">
        <f t="shared" si="24"/>
        <v>Unbalanced Student</v>
      </c>
      <c r="T162" s="14" t="str">
        <f t="shared" si="25"/>
        <v>Medium</v>
      </c>
      <c r="U162" s="21" t="str">
        <f t="shared" si="26"/>
        <v>D</v>
      </c>
    </row>
    <row r="163" spans="2:21">
      <c r="B163" s="20">
        <v>160</v>
      </c>
      <c r="C163" s="14" t="s">
        <v>62</v>
      </c>
      <c r="D163" s="14" t="s">
        <v>15</v>
      </c>
      <c r="E163" s="14">
        <v>6</v>
      </c>
      <c r="F163" s="14">
        <v>95</v>
      </c>
      <c r="G163" s="14">
        <v>92</v>
      </c>
      <c r="H163" s="14">
        <v>93</v>
      </c>
      <c r="I163" s="14">
        <v>96</v>
      </c>
      <c r="J163" s="14" t="s">
        <v>16</v>
      </c>
      <c r="K163" s="14">
        <v>6</v>
      </c>
      <c r="L163" s="14">
        <v>2</v>
      </c>
      <c r="M163" s="15">
        <f t="shared" si="18"/>
        <v>281</v>
      </c>
      <c r="N163" s="15">
        <f t="shared" si="19"/>
        <v>93.666666666666671</v>
      </c>
      <c r="O163" s="14" t="str">
        <f t="shared" si="20"/>
        <v>Excellent</v>
      </c>
      <c r="P163" s="15">
        <f t="shared" si="21"/>
        <v>15.611111111111112</v>
      </c>
      <c r="Q163" s="14" t="str">
        <f t="shared" si="22"/>
        <v>No</v>
      </c>
      <c r="R163" s="14" t="str">
        <f t="shared" si="23"/>
        <v>Normal Students</v>
      </c>
      <c r="S163" s="14" t="str">
        <f t="shared" si="24"/>
        <v>Balanced Student</v>
      </c>
      <c r="T163" s="14" t="str">
        <f t="shared" si="25"/>
        <v>High</v>
      </c>
      <c r="U163" s="21" t="str">
        <f t="shared" si="26"/>
        <v>A</v>
      </c>
    </row>
    <row r="164" spans="2:21">
      <c r="B164" s="20">
        <v>161</v>
      </c>
      <c r="C164" s="14" t="s">
        <v>76</v>
      </c>
      <c r="D164" s="14" t="s">
        <v>15</v>
      </c>
      <c r="E164" s="14">
        <v>3</v>
      </c>
      <c r="F164" s="14">
        <v>78</v>
      </c>
      <c r="G164" s="14">
        <v>72</v>
      </c>
      <c r="H164" s="14">
        <v>70</v>
      </c>
      <c r="I164" s="14">
        <v>75</v>
      </c>
      <c r="J164" s="14" t="s">
        <v>13</v>
      </c>
      <c r="K164" s="14">
        <v>7</v>
      </c>
      <c r="L164" s="14">
        <v>4</v>
      </c>
      <c r="M164" s="15">
        <f t="shared" si="18"/>
        <v>217</v>
      </c>
      <c r="N164" s="15">
        <f t="shared" si="19"/>
        <v>72.333333333333329</v>
      </c>
      <c r="O164" s="14" t="str">
        <f t="shared" si="20"/>
        <v>Good</v>
      </c>
      <c r="P164" s="15">
        <f t="shared" si="21"/>
        <v>24.111111111111111</v>
      </c>
      <c r="Q164" s="14" t="str">
        <f t="shared" si="22"/>
        <v>No</v>
      </c>
      <c r="R164" s="14" t="str">
        <f t="shared" si="23"/>
        <v>Normal Students</v>
      </c>
      <c r="S164" s="14" t="str">
        <f t="shared" si="24"/>
        <v>Unbalanced Student</v>
      </c>
      <c r="T164" s="14" t="str">
        <f t="shared" si="25"/>
        <v>Medium</v>
      </c>
      <c r="U164" s="21" t="str">
        <f t="shared" si="26"/>
        <v>B</v>
      </c>
    </row>
    <row r="165" spans="2:21">
      <c r="B165" s="20">
        <v>162</v>
      </c>
      <c r="C165" s="14" t="s">
        <v>77</v>
      </c>
      <c r="D165" s="14" t="s">
        <v>15</v>
      </c>
      <c r="E165" s="14">
        <v>0</v>
      </c>
      <c r="F165" s="14">
        <v>82</v>
      </c>
      <c r="G165" s="14">
        <v>78</v>
      </c>
      <c r="H165" s="14">
        <v>76</v>
      </c>
      <c r="I165" s="14">
        <v>80</v>
      </c>
      <c r="J165" s="14" t="s">
        <v>13</v>
      </c>
      <c r="K165" s="14">
        <v>7</v>
      </c>
      <c r="L165" s="14">
        <v>3</v>
      </c>
      <c r="M165" s="15">
        <f t="shared" si="18"/>
        <v>234</v>
      </c>
      <c r="N165" s="15">
        <f t="shared" si="19"/>
        <v>78</v>
      </c>
      <c r="O165" s="14" t="str">
        <f t="shared" si="20"/>
        <v>Good</v>
      </c>
      <c r="P165" s="15">
        <f t="shared" si="21"/>
        <v>0</v>
      </c>
      <c r="Q165" s="14" t="str">
        <f t="shared" si="22"/>
        <v>No</v>
      </c>
      <c r="R165" s="14" t="str">
        <f t="shared" si="23"/>
        <v>Normal Students</v>
      </c>
      <c r="S165" s="14" t="str">
        <f t="shared" si="24"/>
        <v>Unbalanced Student</v>
      </c>
      <c r="T165" s="14" t="str">
        <f t="shared" si="25"/>
        <v>High</v>
      </c>
      <c r="U165" s="21" t="str">
        <f t="shared" si="26"/>
        <v>B</v>
      </c>
    </row>
    <row r="166" spans="2:21">
      <c r="B166" s="20">
        <v>163</v>
      </c>
      <c r="C166" s="14" t="s">
        <v>78</v>
      </c>
      <c r="D166" s="14" t="s">
        <v>12</v>
      </c>
      <c r="E166" s="14">
        <v>2</v>
      </c>
      <c r="F166" s="14">
        <v>70</v>
      </c>
      <c r="G166" s="14">
        <v>65</v>
      </c>
      <c r="H166" s="14">
        <v>60</v>
      </c>
      <c r="I166" s="14">
        <v>66</v>
      </c>
      <c r="J166" s="14" t="s">
        <v>16</v>
      </c>
      <c r="K166" s="14">
        <v>8</v>
      </c>
      <c r="L166" s="14">
        <v>5</v>
      </c>
      <c r="M166" s="15">
        <f t="shared" si="18"/>
        <v>191</v>
      </c>
      <c r="N166" s="15">
        <f t="shared" si="19"/>
        <v>63.666666666666664</v>
      </c>
      <c r="O166" s="14" t="str">
        <f t="shared" si="20"/>
        <v>Good</v>
      </c>
      <c r="P166" s="15">
        <f t="shared" si="21"/>
        <v>31.833333333333332</v>
      </c>
      <c r="Q166" s="14" t="str">
        <f t="shared" si="22"/>
        <v>No</v>
      </c>
      <c r="R166" s="14" t="str">
        <f t="shared" si="23"/>
        <v>Normal Students</v>
      </c>
      <c r="S166" s="14" t="str">
        <f t="shared" si="24"/>
        <v>Unbalanced Student</v>
      </c>
      <c r="T166" s="14" t="str">
        <f t="shared" si="25"/>
        <v>Medium</v>
      </c>
      <c r="U166" s="21" t="str">
        <f t="shared" si="26"/>
        <v>C</v>
      </c>
    </row>
    <row r="167" spans="2:21">
      <c r="B167" s="20">
        <v>164</v>
      </c>
      <c r="C167" s="14" t="s">
        <v>79</v>
      </c>
      <c r="D167" s="14" t="s">
        <v>12</v>
      </c>
      <c r="E167" s="14">
        <v>3</v>
      </c>
      <c r="F167" s="14">
        <v>79</v>
      </c>
      <c r="G167" s="14">
        <v>74</v>
      </c>
      <c r="H167" s="14">
        <v>72</v>
      </c>
      <c r="I167" s="14">
        <v>77</v>
      </c>
      <c r="J167" s="14" t="s">
        <v>13</v>
      </c>
      <c r="K167" s="14">
        <v>7</v>
      </c>
      <c r="L167" s="14">
        <v>0</v>
      </c>
      <c r="M167" s="15">
        <f t="shared" si="18"/>
        <v>223</v>
      </c>
      <c r="N167" s="15">
        <f t="shared" si="19"/>
        <v>74.333333333333329</v>
      </c>
      <c r="O167" s="14" t="str">
        <f t="shared" si="20"/>
        <v>Good</v>
      </c>
      <c r="P167" s="15">
        <f t="shared" si="21"/>
        <v>24.777777777777775</v>
      </c>
      <c r="Q167" s="14" t="str">
        <f t="shared" si="22"/>
        <v>No</v>
      </c>
      <c r="R167" s="14" t="str">
        <f t="shared" si="23"/>
        <v>Normal Students</v>
      </c>
      <c r="S167" s="14" t="str">
        <f t="shared" si="24"/>
        <v>Unbalanced Student</v>
      </c>
      <c r="T167" s="14" t="str">
        <f t="shared" si="25"/>
        <v>Medium</v>
      </c>
      <c r="U167" s="21" t="str">
        <f t="shared" si="26"/>
        <v>B</v>
      </c>
    </row>
    <row r="168" spans="2:21">
      <c r="B168" s="20">
        <v>165</v>
      </c>
      <c r="C168" s="14" t="s">
        <v>80</v>
      </c>
      <c r="D168" s="14" t="s">
        <v>15</v>
      </c>
      <c r="E168" s="14">
        <v>5</v>
      </c>
      <c r="F168" s="14">
        <v>91</v>
      </c>
      <c r="G168" s="14">
        <v>87</v>
      </c>
      <c r="H168" s="14">
        <v>88</v>
      </c>
      <c r="I168" s="14">
        <v>90</v>
      </c>
      <c r="J168" s="14" t="s">
        <v>13</v>
      </c>
      <c r="K168" s="14">
        <v>6</v>
      </c>
      <c r="L168" s="14">
        <v>2</v>
      </c>
      <c r="M168" s="15">
        <f t="shared" si="18"/>
        <v>265</v>
      </c>
      <c r="N168" s="15">
        <f t="shared" si="19"/>
        <v>88.333333333333329</v>
      </c>
      <c r="O168" s="14" t="str">
        <f t="shared" si="20"/>
        <v>Excellent</v>
      </c>
      <c r="P168" s="15">
        <f t="shared" si="21"/>
        <v>17.666666666666664</v>
      </c>
      <c r="Q168" s="14" t="str">
        <f t="shared" si="22"/>
        <v>No</v>
      </c>
      <c r="R168" s="14" t="str">
        <f t="shared" si="23"/>
        <v>Normal Students</v>
      </c>
      <c r="S168" s="14" t="str">
        <f t="shared" si="24"/>
        <v>Balanced Student</v>
      </c>
      <c r="T168" s="14" t="str">
        <f t="shared" si="25"/>
        <v>High</v>
      </c>
      <c r="U168" s="21" t="str">
        <f t="shared" si="26"/>
        <v>A</v>
      </c>
    </row>
    <row r="169" spans="2:21">
      <c r="B169" s="20">
        <v>166</v>
      </c>
      <c r="C169" s="14" t="s">
        <v>81</v>
      </c>
      <c r="D169" s="14" t="s">
        <v>12</v>
      </c>
      <c r="E169" s="14">
        <v>4</v>
      </c>
      <c r="F169" s="14">
        <v>86</v>
      </c>
      <c r="G169" s="14">
        <v>82</v>
      </c>
      <c r="H169" s="14">
        <v>80</v>
      </c>
      <c r="I169" s="14">
        <v>84</v>
      </c>
      <c r="J169" s="14" t="s">
        <v>16</v>
      </c>
      <c r="K169" s="14">
        <v>7</v>
      </c>
      <c r="L169" s="14">
        <v>3</v>
      </c>
      <c r="M169" s="15">
        <f t="shared" si="18"/>
        <v>246</v>
      </c>
      <c r="N169" s="15">
        <f t="shared" si="19"/>
        <v>82</v>
      </c>
      <c r="O169" s="14" t="str">
        <f t="shared" si="20"/>
        <v>Excellent</v>
      </c>
      <c r="P169" s="15">
        <f t="shared" si="21"/>
        <v>20.5</v>
      </c>
      <c r="Q169" s="14" t="str">
        <f t="shared" si="22"/>
        <v>No</v>
      </c>
      <c r="R169" s="14" t="str">
        <f t="shared" si="23"/>
        <v>Normal Students</v>
      </c>
      <c r="S169" s="14" t="str">
        <f t="shared" si="24"/>
        <v>Balanced Student</v>
      </c>
      <c r="T169" s="14" t="str">
        <f t="shared" si="25"/>
        <v>High</v>
      </c>
      <c r="U169" s="21" t="str">
        <f t="shared" si="26"/>
        <v>A</v>
      </c>
    </row>
    <row r="170" spans="2:21">
      <c r="B170" s="20">
        <v>167</v>
      </c>
      <c r="C170" s="14" t="s">
        <v>58</v>
      </c>
      <c r="D170" s="14" t="s">
        <v>15</v>
      </c>
      <c r="E170" s="14">
        <v>3</v>
      </c>
      <c r="F170" s="14">
        <v>78</v>
      </c>
      <c r="G170" s="14">
        <v>72</v>
      </c>
      <c r="H170" s="14">
        <v>0</v>
      </c>
      <c r="I170" s="14">
        <v>75</v>
      </c>
      <c r="J170" s="14" t="s">
        <v>13</v>
      </c>
      <c r="K170" s="14">
        <v>7</v>
      </c>
      <c r="L170" s="14">
        <v>4</v>
      </c>
      <c r="M170" s="15">
        <f t="shared" si="18"/>
        <v>147</v>
      </c>
      <c r="N170" s="15">
        <f t="shared" si="19"/>
        <v>49</v>
      </c>
      <c r="O170" s="14" t="str">
        <f t="shared" si="20"/>
        <v>Needs Improvement</v>
      </c>
      <c r="P170" s="15">
        <f t="shared" si="21"/>
        <v>16.333333333333332</v>
      </c>
      <c r="Q170" s="14" t="str">
        <f t="shared" si="22"/>
        <v>No</v>
      </c>
      <c r="R170" s="14" t="str">
        <f t="shared" si="23"/>
        <v>Normal Students</v>
      </c>
      <c r="S170" s="14" t="str">
        <f t="shared" si="24"/>
        <v>Unbalanced Student</v>
      </c>
      <c r="T170" s="14" t="str">
        <f t="shared" si="25"/>
        <v>Medium</v>
      </c>
      <c r="U170" s="21" t="str">
        <f t="shared" si="26"/>
        <v>F</v>
      </c>
    </row>
    <row r="171" spans="2:21">
      <c r="B171" s="20">
        <v>168</v>
      </c>
      <c r="C171" s="14" t="s">
        <v>82</v>
      </c>
      <c r="D171" s="14" t="s">
        <v>12</v>
      </c>
      <c r="E171" s="14">
        <v>6</v>
      </c>
      <c r="F171" s="14">
        <v>94</v>
      </c>
      <c r="G171" s="14">
        <v>91</v>
      </c>
      <c r="H171" s="14">
        <v>90</v>
      </c>
      <c r="I171" s="14">
        <v>93</v>
      </c>
      <c r="J171" s="14" t="s">
        <v>16</v>
      </c>
      <c r="K171" s="14">
        <v>6</v>
      </c>
      <c r="L171" s="14">
        <v>2</v>
      </c>
      <c r="M171" s="15">
        <f t="shared" si="18"/>
        <v>274</v>
      </c>
      <c r="N171" s="15">
        <f t="shared" si="19"/>
        <v>91.333333333333329</v>
      </c>
      <c r="O171" s="14" t="str">
        <f t="shared" si="20"/>
        <v>Excellent</v>
      </c>
      <c r="P171" s="15">
        <f t="shared" si="21"/>
        <v>15.222222222222221</v>
      </c>
      <c r="Q171" s="14" t="str">
        <f t="shared" si="22"/>
        <v>No</v>
      </c>
      <c r="R171" s="14" t="str">
        <f t="shared" si="23"/>
        <v>Normal Students</v>
      </c>
      <c r="S171" s="14" t="str">
        <f t="shared" si="24"/>
        <v>Balanced Student</v>
      </c>
      <c r="T171" s="14" t="str">
        <f t="shared" si="25"/>
        <v>High</v>
      </c>
      <c r="U171" s="21" t="str">
        <f t="shared" si="26"/>
        <v>A</v>
      </c>
    </row>
    <row r="172" spans="2:21">
      <c r="B172" s="20">
        <v>169</v>
      </c>
      <c r="C172" s="14" t="s">
        <v>83</v>
      </c>
      <c r="D172" s="14" t="s">
        <v>15</v>
      </c>
      <c r="E172" s="14">
        <v>2</v>
      </c>
      <c r="F172" s="14">
        <v>72</v>
      </c>
      <c r="G172" s="14">
        <v>65</v>
      </c>
      <c r="H172" s="14">
        <v>63</v>
      </c>
      <c r="I172" s="14">
        <v>68</v>
      </c>
      <c r="J172" s="14" t="s">
        <v>13</v>
      </c>
      <c r="K172" s="14">
        <v>8</v>
      </c>
      <c r="L172" s="14">
        <v>5</v>
      </c>
      <c r="M172" s="15">
        <f t="shared" si="18"/>
        <v>196</v>
      </c>
      <c r="N172" s="15">
        <f t="shared" si="19"/>
        <v>65.333333333333329</v>
      </c>
      <c r="O172" s="14" t="str">
        <f t="shared" si="20"/>
        <v>Good</v>
      </c>
      <c r="P172" s="15">
        <f t="shared" si="21"/>
        <v>32.666666666666664</v>
      </c>
      <c r="Q172" s="14" t="str">
        <f t="shared" si="22"/>
        <v>No</v>
      </c>
      <c r="R172" s="14" t="str">
        <f t="shared" si="23"/>
        <v>Normal Students</v>
      </c>
      <c r="S172" s="14" t="str">
        <f t="shared" si="24"/>
        <v>Unbalanced Student</v>
      </c>
      <c r="T172" s="14" t="str">
        <f t="shared" si="25"/>
        <v>Medium</v>
      </c>
      <c r="U172" s="21" t="str">
        <f t="shared" si="26"/>
        <v>C</v>
      </c>
    </row>
    <row r="173" spans="2:21">
      <c r="B173" s="20">
        <v>170</v>
      </c>
      <c r="C173" s="14" t="s">
        <v>84</v>
      </c>
      <c r="D173" s="14" t="s">
        <v>15</v>
      </c>
      <c r="E173" s="14">
        <v>5</v>
      </c>
      <c r="F173" s="14">
        <v>90</v>
      </c>
      <c r="G173" s="14">
        <v>85</v>
      </c>
      <c r="H173" s="14">
        <v>87</v>
      </c>
      <c r="I173" s="14">
        <v>89</v>
      </c>
      <c r="J173" s="14" t="s">
        <v>13</v>
      </c>
      <c r="K173" s="14">
        <v>6</v>
      </c>
      <c r="L173" s="14">
        <v>2</v>
      </c>
      <c r="M173" s="15">
        <f t="shared" si="18"/>
        <v>261</v>
      </c>
      <c r="N173" s="15">
        <f t="shared" si="19"/>
        <v>87</v>
      </c>
      <c r="O173" s="14" t="str">
        <f t="shared" si="20"/>
        <v>Excellent</v>
      </c>
      <c r="P173" s="15">
        <f t="shared" si="21"/>
        <v>17.399999999999999</v>
      </c>
      <c r="Q173" s="14" t="str">
        <f t="shared" si="22"/>
        <v>No</v>
      </c>
      <c r="R173" s="14" t="str">
        <f t="shared" si="23"/>
        <v>Normal Students</v>
      </c>
      <c r="S173" s="14" t="str">
        <f t="shared" si="24"/>
        <v>Balanced Student</v>
      </c>
      <c r="T173" s="14" t="str">
        <f t="shared" si="25"/>
        <v>High</v>
      </c>
      <c r="U173" s="21" t="str">
        <f t="shared" si="26"/>
        <v>A</v>
      </c>
    </row>
    <row r="174" spans="2:21">
      <c r="B174" s="20">
        <v>171</v>
      </c>
      <c r="C174" s="14" t="s">
        <v>85</v>
      </c>
      <c r="D174" s="14" t="s">
        <v>12</v>
      </c>
      <c r="E174" s="14">
        <v>3</v>
      </c>
      <c r="F174" s="14">
        <v>80</v>
      </c>
      <c r="G174" s="14">
        <v>75</v>
      </c>
      <c r="H174" s="14">
        <v>73</v>
      </c>
      <c r="I174" s="14">
        <v>78</v>
      </c>
      <c r="J174" s="14" t="s">
        <v>16</v>
      </c>
      <c r="K174" s="14">
        <v>7</v>
      </c>
      <c r="L174" s="14">
        <v>4</v>
      </c>
      <c r="M174" s="15">
        <f t="shared" si="18"/>
        <v>226</v>
      </c>
      <c r="N174" s="15">
        <f t="shared" si="19"/>
        <v>75.333333333333329</v>
      </c>
      <c r="O174" s="14" t="str">
        <f t="shared" si="20"/>
        <v>Good</v>
      </c>
      <c r="P174" s="15">
        <f t="shared" si="21"/>
        <v>25.111111111111111</v>
      </c>
      <c r="Q174" s="14" t="str">
        <f t="shared" si="22"/>
        <v>No</v>
      </c>
      <c r="R174" s="14" t="str">
        <f t="shared" si="23"/>
        <v>Normal Students</v>
      </c>
      <c r="S174" s="14" t="str">
        <f t="shared" si="24"/>
        <v>Unbalanced Student</v>
      </c>
      <c r="T174" s="14" t="str">
        <f t="shared" si="25"/>
        <v>High</v>
      </c>
      <c r="U174" s="21" t="str">
        <f t="shared" si="26"/>
        <v>B</v>
      </c>
    </row>
    <row r="175" spans="2:21">
      <c r="B175" s="20">
        <v>172</v>
      </c>
      <c r="C175" s="14" t="s">
        <v>86</v>
      </c>
      <c r="D175" s="14" t="s">
        <v>15</v>
      </c>
      <c r="E175" s="14">
        <v>4</v>
      </c>
      <c r="F175" s="14">
        <v>88</v>
      </c>
      <c r="G175" s="14">
        <v>84</v>
      </c>
      <c r="H175" s="14">
        <v>82</v>
      </c>
      <c r="I175" s="14">
        <v>86</v>
      </c>
      <c r="J175" s="14" t="s">
        <v>13</v>
      </c>
      <c r="K175" s="14">
        <v>7</v>
      </c>
      <c r="L175" s="14">
        <v>3</v>
      </c>
      <c r="M175" s="15">
        <f t="shared" si="18"/>
        <v>252</v>
      </c>
      <c r="N175" s="15">
        <f t="shared" si="19"/>
        <v>84</v>
      </c>
      <c r="O175" s="14" t="str">
        <f t="shared" si="20"/>
        <v>Excellent</v>
      </c>
      <c r="P175" s="15">
        <f t="shared" si="21"/>
        <v>21</v>
      </c>
      <c r="Q175" s="14" t="str">
        <f t="shared" si="22"/>
        <v>No</v>
      </c>
      <c r="R175" s="14" t="str">
        <f t="shared" si="23"/>
        <v>Normal Students</v>
      </c>
      <c r="S175" s="14" t="str">
        <f t="shared" si="24"/>
        <v>Balanced Student</v>
      </c>
      <c r="T175" s="14" t="str">
        <f t="shared" si="25"/>
        <v>High</v>
      </c>
      <c r="U175" s="21" t="str">
        <f t="shared" si="26"/>
        <v>A</v>
      </c>
    </row>
    <row r="176" spans="2:21">
      <c r="B176" s="20">
        <v>173</v>
      </c>
      <c r="C176" s="14" t="s">
        <v>87</v>
      </c>
      <c r="D176" s="14" t="s">
        <v>12</v>
      </c>
      <c r="E176" s="14">
        <v>2</v>
      </c>
      <c r="F176" s="14">
        <v>68</v>
      </c>
      <c r="G176" s="14">
        <v>60</v>
      </c>
      <c r="H176" s="14">
        <v>58</v>
      </c>
      <c r="I176" s="14">
        <v>64</v>
      </c>
      <c r="J176" s="14" t="s">
        <v>16</v>
      </c>
      <c r="K176" s="14">
        <v>8</v>
      </c>
      <c r="L176" s="14">
        <v>5</v>
      </c>
      <c r="M176" s="15">
        <f t="shared" si="18"/>
        <v>182</v>
      </c>
      <c r="N176" s="15">
        <f t="shared" si="19"/>
        <v>60.666666666666664</v>
      </c>
      <c r="O176" s="14" t="str">
        <f t="shared" si="20"/>
        <v>Good</v>
      </c>
      <c r="P176" s="15">
        <f t="shared" si="21"/>
        <v>30.333333333333332</v>
      </c>
      <c r="Q176" s="14" t="str">
        <f t="shared" si="22"/>
        <v>No</v>
      </c>
      <c r="R176" s="14" t="str">
        <f t="shared" si="23"/>
        <v>Normal Students</v>
      </c>
      <c r="S176" s="14" t="str">
        <f t="shared" si="24"/>
        <v>Unbalanced Student</v>
      </c>
      <c r="T176" s="14" t="str">
        <f t="shared" si="25"/>
        <v>Medium</v>
      </c>
      <c r="U176" s="21" t="str">
        <f t="shared" si="26"/>
        <v>C</v>
      </c>
    </row>
    <row r="177" spans="2:21">
      <c r="B177" s="20">
        <v>174</v>
      </c>
      <c r="C177" s="14" t="s">
        <v>88</v>
      </c>
      <c r="D177" s="14" t="s">
        <v>15</v>
      </c>
      <c r="E177" s="14">
        <v>5</v>
      </c>
      <c r="F177" s="14">
        <v>92</v>
      </c>
      <c r="G177" s="14">
        <v>89</v>
      </c>
      <c r="H177" s="14">
        <v>90</v>
      </c>
      <c r="I177" s="14">
        <v>93</v>
      </c>
      <c r="J177" s="14" t="s">
        <v>13</v>
      </c>
      <c r="K177" s="14">
        <v>6</v>
      </c>
      <c r="L177" s="14">
        <v>2</v>
      </c>
      <c r="M177" s="15">
        <f t="shared" si="18"/>
        <v>272</v>
      </c>
      <c r="N177" s="15">
        <f t="shared" si="19"/>
        <v>90.666666666666671</v>
      </c>
      <c r="O177" s="14" t="str">
        <f t="shared" si="20"/>
        <v>Excellent</v>
      </c>
      <c r="P177" s="15">
        <f t="shared" si="21"/>
        <v>18.133333333333333</v>
      </c>
      <c r="Q177" s="14" t="str">
        <f t="shared" si="22"/>
        <v>No</v>
      </c>
      <c r="R177" s="14" t="str">
        <f t="shared" si="23"/>
        <v>Normal Students</v>
      </c>
      <c r="S177" s="14" t="str">
        <f t="shared" si="24"/>
        <v>Balanced Student</v>
      </c>
      <c r="T177" s="14" t="str">
        <f t="shared" si="25"/>
        <v>High</v>
      </c>
      <c r="U177" s="21" t="str">
        <f t="shared" si="26"/>
        <v>A</v>
      </c>
    </row>
    <row r="178" spans="2:21">
      <c r="B178" s="20">
        <v>175</v>
      </c>
      <c r="C178" s="14" t="s">
        <v>89</v>
      </c>
      <c r="D178" s="14" t="s">
        <v>12</v>
      </c>
      <c r="E178" s="14">
        <v>1</v>
      </c>
      <c r="F178" s="14">
        <v>62</v>
      </c>
      <c r="G178" s="14">
        <v>52</v>
      </c>
      <c r="H178" s="14">
        <v>50</v>
      </c>
      <c r="I178" s="14">
        <v>57</v>
      </c>
      <c r="J178" s="14" t="s">
        <v>16</v>
      </c>
      <c r="K178" s="14">
        <v>8</v>
      </c>
      <c r="L178" s="14">
        <v>6</v>
      </c>
      <c r="M178" s="15">
        <f t="shared" si="18"/>
        <v>159</v>
      </c>
      <c r="N178" s="15">
        <f t="shared" si="19"/>
        <v>53</v>
      </c>
      <c r="O178" s="14" t="str">
        <f t="shared" si="20"/>
        <v>Needs Improvement</v>
      </c>
      <c r="P178" s="15">
        <f t="shared" si="21"/>
        <v>53</v>
      </c>
      <c r="Q178" s="14" t="str">
        <f t="shared" si="22"/>
        <v>Yes</v>
      </c>
      <c r="R178" s="14" t="str">
        <f t="shared" si="23"/>
        <v>Normal Students</v>
      </c>
      <c r="S178" s="14" t="str">
        <f t="shared" si="24"/>
        <v>Unbalanced Student</v>
      </c>
      <c r="T178" s="14" t="str">
        <f t="shared" si="25"/>
        <v>Medium</v>
      </c>
      <c r="U178" s="21" t="str">
        <f t="shared" si="26"/>
        <v>D</v>
      </c>
    </row>
    <row r="179" spans="2:21">
      <c r="B179" s="20">
        <v>176</v>
      </c>
      <c r="C179" s="14" t="s">
        <v>90</v>
      </c>
      <c r="D179" s="14" t="s">
        <v>15</v>
      </c>
      <c r="E179" s="14">
        <v>6</v>
      </c>
      <c r="F179" s="14">
        <v>96</v>
      </c>
      <c r="G179" s="14">
        <v>93</v>
      </c>
      <c r="H179" s="14">
        <v>94</v>
      </c>
      <c r="I179" s="14">
        <v>97</v>
      </c>
      <c r="J179" s="14" t="s">
        <v>16</v>
      </c>
      <c r="K179" s="14">
        <v>6</v>
      </c>
      <c r="L179" s="14">
        <v>2</v>
      </c>
      <c r="M179" s="15">
        <f t="shared" si="18"/>
        <v>284</v>
      </c>
      <c r="N179" s="15">
        <f t="shared" si="19"/>
        <v>94.666666666666671</v>
      </c>
      <c r="O179" s="14" t="str">
        <f t="shared" si="20"/>
        <v>Excellent</v>
      </c>
      <c r="P179" s="15">
        <f t="shared" si="21"/>
        <v>15.777777777777779</v>
      </c>
      <c r="Q179" s="14" t="str">
        <f t="shared" si="22"/>
        <v>No</v>
      </c>
      <c r="R179" s="14" t="str">
        <f t="shared" si="23"/>
        <v>Normal Students</v>
      </c>
      <c r="S179" s="14" t="str">
        <f t="shared" si="24"/>
        <v>Balanced Student</v>
      </c>
      <c r="T179" s="14" t="str">
        <f t="shared" si="25"/>
        <v>High</v>
      </c>
      <c r="U179" s="21" t="str">
        <f t="shared" si="26"/>
        <v>A</v>
      </c>
    </row>
    <row r="180" spans="2:21">
      <c r="B180" s="20">
        <v>177</v>
      </c>
      <c r="C180" s="14" t="s">
        <v>91</v>
      </c>
      <c r="D180" s="14" t="s">
        <v>15</v>
      </c>
      <c r="E180" s="14">
        <v>3</v>
      </c>
      <c r="F180" s="14">
        <v>79</v>
      </c>
      <c r="G180" s="14">
        <v>74</v>
      </c>
      <c r="H180" s="14">
        <v>72</v>
      </c>
      <c r="I180" s="14">
        <v>76</v>
      </c>
      <c r="J180" s="14" t="s">
        <v>13</v>
      </c>
      <c r="K180" s="14">
        <v>7</v>
      </c>
      <c r="L180" s="14">
        <v>4</v>
      </c>
      <c r="M180" s="15">
        <f t="shared" si="18"/>
        <v>222</v>
      </c>
      <c r="N180" s="15">
        <f t="shared" si="19"/>
        <v>74</v>
      </c>
      <c r="O180" s="14" t="str">
        <f t="shared" si="20"/>
        <v>Good</v>
      </c>
      <c r="P180" s="15">
        <f t="shared" si="21"/>
        <v>24.666666666666668</v>
      </c>
      <c r="Q180" s="14" t="str">
        <f t="shared" si="22"/>
        <v>No</v>
      </c>
      <c r="R180" s="14" t="str">
        <f t="shared" si="23"/>
        <v>Normal Students</v>
      </c>
      <c r="S180" s="14" t="str">
        <f t="shared" si="24"/>
        <v>Unbalanced Student</v>
      </c>
      <c r="T180" s="14" t="str">
        <f t="shared" si="25"/>
        <v>Medium</v>
      </c>
      <c r="U180" s="21" t="str">
        <f t="shared" si="26"/>
        <v>B</v>
      </c>
    </row>
    <row r="181" spans="2:21">
      <c r="B181" s="20">
        <v>178</v>
      </c>
      <c r="C181" s="14" t="s">
        <v>92</v>
      </c>
      <c r="D181" s="14" t="s">
        <v>12</v>
      </c>
      <c r="E181" s="14">
        <v>2</v>
      </c>
      <c r="F181" s="14">
        <v>70</v>
      </c>
      <c r="G181" s="14">
        <v>63</v>
      </c>
      <c r="H181" s="14">
        <v>60</v>
      </c>
      <c r="I181" s="14">
        <v>66</v>
      </c>
      <c r="J181" s="14" t="s">
        <v>13</v>
      </c>
      <c r="K181" s="14">
        <v>8</v>
      </c>
      <c r="L181" s="14">
        <v>5</v>
      </c>
      <c r="M181" s="15">
        <f t="shared" si="18"/>
        <v>189</v>
      </c>
      <c r="N181" s="15">
        <f t="shared" si="19"/>
        <v>63</v>
      </c>
      <c r="O181" s="14" t="str">
        <f t="shared" si="20"/>
        <v>Good</v>
      </c>
      <c r="P181" s="15">
        <f t="shared" si="21"/>
        <v>31.5</v>
      </c>
      <c r="Q181" s="14" t="str">
        <f t="shared" si="22"/>
        <v>No</v>
      </c>
      <c r="R181" s="14" t="str">
        <f t="shared" si="23"/>
        <v>Normal Students</v>
      </c>
      <c r="S181" s="14" t="str">
        <f t="shared" si="24"/>
        <v>Unbalanced Student</v>
      </c>
      <c r="T181" s="14" t="str">
        <f t="shared" si="25"/>
        <v>Medium</v>
      </c>
      <c r="U181" s="21" t="str">
        <f t="shared" si="26"/>
        <v>C</v>
      </c>
    </row>
    <row r="182" spans="2:21">
      <c r="B182" s="20">
        <v>179</v>
      </c>
      <c r="C182" s="14" t="s">
        <v>93</v>
      </c>
      <c r="D182" s="14" t="s">
        <v>15</v>
      </c>
      <c r="E182" s="14">
        <v>4</v>
      </c>
      <c r="F182" s="14">
        <v>87</v>
      </c>
      <c r="G182" s="14">
        <v>83</v>
      </c>
      <c r="H182" s="14">
        <v>81</v>
      </c>
      <c r="I182" s="14">
        <v>85</v>
      </c>
      <c r="J182" s="14" t="s">
        <v>16</v>
      </c>
      <c r="K182" s="14">
        <v>6</v>
      </c>
      <c r="L182" s="14">
        <v>3</v>
      </c>
      <c r="M182" s="15">
        <f t="shared" si="18"/>
        <v>249</v>
      </c>
      <c r="N182" s="15">
        <f t="shared" si="19"/>
        <v>83</v>
      </c>
      <c r="O182" s="14" t="str">
        <f t="shared" si="20"/>
        <v>Excellent</v>
      </c>
      <c r="P182" s="15">
        <f t="shared" si="21"/>
        <v>20.75</v>
      </c>
      <c r="Q182" s="14" t="str">
        <f t="shared" si="22"/>
        <v>No</v>
      </c>
      <c r="R182" s="14" t="str">
        <f t="shared" si="23"/>
        <v>Normal Students</v>
      </c>
      <c r="S182" s="14" t="str">
        <f t="shared" si="24"/>
        <v>Balanced Student</v>
      </c>
      <c r="T182" s="14" t="str">
        <f t="shared" si="25"/>
        <v>High</v>
      </c>
      <c r="U182" s="21" t="str">
        <f t="shared" si="26"/>
        <v>A</v>
      </c>
    </row>
    <row r="183" spans="2:21">
      <c r="B183" s="20">
        <v>180</v>
      </c>
      <c r="C183" s="14" t="s">
        <v>94</v>
      </c>
      <c r="D183" s="14" t="s">
        <v>12</v>
      </c>
      <c r="E183" s="14">
        <v>3</v>
      </c>
      <c r="F183" s="14">
        <v>82</v>
      </c>
      <c r="G183" s="14">
        <v>76</v>
      </c>
      <c r="H183" s="14">
        <v>75</v>
      </c>
      <c r="I183" s="14">
        <v>79</v>
      </c>
      <c r="J183" s="14" t="s">
        <v>16</v>
      </c>
      <c r="K183" s="14">
        <v>7</v>
      </c>
      <c r="L183" s="14">
        <v>4</v>
      </c>
      <c r="M183" s="15">
        <f t="shared" si="18"/>
        <v>230</v>
      </c>
      <c r="N183" s="15">
        <f t="shared" si="19"/>
        <v>76.666666666666671</v>
      </c>
      <c r="O183" s="14" t="str">
        <f t="shared" si="20"/>
        <v>Good</v>
      </c>
      <c r="P183" s="15">
        <f t="shared" si="21"/>
        <v>25.555555555555557</v>
      </c>
      <c r="Q183" s="14" t="str">
        <f t="shared" si="22"/>
        <v>No</v>
      </c>
      <c r="R183" s="14" t="str">
        <f t="shared" si="23"/>
        <v>Normal Students</v>
      </c>
      <c r="S183" s="14" t="str">
        <f t="shared" si="24"/>
        <v>Unbalanced Student</v>
      </c>
      <c r="T183" s="14" t="str">
        <f t="shared" si="25"/>
        <v>High</v>
      </c>
      <c r="U183" s="21" t="str">
        <f t="shared" si="26"/>
        <v>B</v>
      </c>
    </row>
    <row r="184" spans="2:21">
      <c r="B184" s="20">
        <v>181</v>
      </c>
      <c r="C184" s="14" t="s">
        <v>95</v>
      </c>
      <c r="D184" s="14" t="s">
        <v>15</v>
      </c>
      <c r="E184" s="14">
        <v>5</v>
      </c>
      <c r="F184" s="14">
        <v>91</v>
      </c>
      <c r="G184" s="14">
        <v>87</v>
      </c>
      <c r="H184" s="14">
        <v>89</v>
      </c>
      <c r="I184" s="14">
        <v>90</v>
      </c>
      <c r="J184" s="14" t="s">
        <v>13</v>
      </c>
      <c r="K184" s="14">
        <v>6</v>
      </c>
      <c r="L184" s="14">
        <v>2</v>
      </c>
      <c r="M184" s="15">
        <f t="shared" si="18"/>
        <v>266</v>
      </c>
      <c r="N184" s="15">
        <f t="shared" si="19"/>
        <v>88.666666666666671</v>
      </c>
      <c r="O184" s="14" t="str">
        <f t="shared" si="20"/>
        <v>Excellent</v>
      </c>
      <c r="P184" s="15">
        <f t="shared" si="21"/>
        <v>17.733333333333334</v>
      </c>
      <c r="Q184" s="14" t="str">
        <f t="shared" si="22"/>
        <v>No</v>
      </c>
      <c r="R184" s="14" t="str">
        <f t="shared" si="23"/>
        <v>Normal Students</v>
      </c>
      <c r="S184" s="14" t="str">
        <f t="shared" si="24"/>
        <v>Balanced Student</v>
      </c>
      <c r="T184" s="14" t="str">
        <f t="shared" si="25"/>
        <v>High</v>
      </c>
      <c r="U184" s="21" t="str">
        <f t="shared" si="26"/>
        <v>A</v>
      </c>
    </row>
    <row r="185" spans="2:21">
      <c r="B185" s="20">
        <v>182</v>
      </c>
      <c r="C185" s="14" t="s">
        <v>96</v>
      </c>
      <c r="D185" s="14" t="s">
        <v>12</v>
      </c>
      <c r="E185" s="14">
        <v>2</v>
      </c>
      <c r="F185" s="14">
        <v>68</v>
      </c>
      <c r="G185" s="14">
        <v>60</v>
      </c>
      <c r="H185" s="14">
        <v>58</v>
      </c>
      <c r="I185" s="14">
        <v>63</v>
      </c>
      <c r="J185" s="14" t="s">
        <v>16</v>
      </c>
      <c r="K185" s="14">
        <v>8</v>
      </c>
      <c r="L185" s="14">
        <v>5</v>
      </c>
      <c r="M185" s="15">
        <f t="shared" si="18"/>
        <v>181</v>
      </c>
      <c r="N185" s="15">
        <f t="shared" si="19"/>
        <v>60.333333333333336</v>
      </c>
      <c r="O185" s="14" t="str">
        <f t="shared" si="20"/>
        <v>Good</v>
      </c>
      <c r="P185" s="15">
        <f t="shared" si="21"/>
        <v>30.166666666666668</v>
      </c>
      <c r="Q185" s="14" t="str">
        <f t="shared" si="22"/>
        <v>No</v>
      </c>
      <c r="R185" s="14" t="str">
        <f t="shared" si="23"/>
        <v>Normal Students</v>
      </c>
      <c r="S185" s="14" t="str">
        <f t="shared" si="24"/>
        <v>Unbalanced Student</v>
      </c>
      <c r="T185" s="14" t="str">
        <f t="shared" si="25"/>
        <v>Medium</v>
      </c>
      <c r="U185" s="21" t="str">
        <f t="shared" si="26"/>
        <v>C</v>
      </c>
    </row>
    <row r="186" spans="2:21">
      <c r="B186" s="20">
        <v>183</v>
      </c>
      <c r="C186" s="14" t="s">
        <v>97</v>
      </c>
      <c r="D186" s="14" t="s">
        <v>12</v>
      </c>
      <c r="E186" s="14">
        <v>6</v>
      </c>
      <c r="F186" s="14">
        <v>94</v>
      </c>
      <c r="G186" s="14">
        <v>92</v>
      </c>
      <c r="H186" s="14">
        <v>91</v>
      </c>
      <c r="I186" s="14">
        <v>95</v>
      </c>
      <c r="J186" s="14" t="s">
        <v>16</v>
      </c>
      <c r="K186" s="14">
        <v>6</v>
      </c>
      <c r="L186" s="14">
        <v>2</v>
      </c>
      <c r="M186" s="15">
        <f t="shared" si="18"/>
        <v>278</v>
      </c>
      <c r="N186" s="15">
        <f t="shared" si="19"/>
        <v>92.666666666666671</v>
      </c>
      <c r="O186" s="14" t="str">
        <f t="shared" si="20"/>
        <v>Excellent</v>
      </c>
      <c r="P186" s="15">
        <f t="shared" si="21"/>
        <v>15.444444444444445</v>
      </c>
      <c r="Q186" s="14" t="str">
        <f t="shared" si="22"/>
        <v>No</v>
      </c>
      <c r="R186" s="14" t="str">
        <f t="shared" si="23"/>
        <v>Normal Students</v>
      </c>
      <c r="S186" s="14" t="str">
        <f t="shared" si="24"/>
        <v>Balanced Student</v>
      </c>
      <c r="T186" s="14" t="str">
        <f t="shared" si="25"/>
        <v>High</v>
      </c>
      <c r="U186" s="21" t="str">
        <f t="shared" si="26"/>
        <v>A</v>
      </c>
    </row>
    <row r="187" spans="2:21">
      <c r="B187" s="20">
        <v>184</v>
      </c>
      <c r="C187" s="14" t="s">
        <v>98</v>
      </c>
      <c r="D187" s="14" t="s">
        <v>15</v>
      </c>
      <c r="E187" s="14">
        <v>3</v>
      </c>
      <c r="F187" s="14">
        <v>78</v>
      </c>
      <c r="G187" s="14">
        <v>72</v>
      </c>
      <c r="H187" s="14">
        <v>70</v>
      </c>
      <c r="I187" s="14">
        <v>75</v>
      </c>
      <c r="J187" s="14" t="s">
        <v>13</v>
      </c>
      <c r="K187" s="14">
        <v>7</v>
      </c>
      <c r="L187" s="14">
        <v>4</v>
      </c>
      <c r="M187" s="15">
        <f t="shared" si="18"/>
        <v>217</v>
      </c>
      <c r="N187" s="15">
        <f t="shared" si="19"/>
        <v>72.333333333333329</v>
      </c>
      <c r="O187" s="14" t="str">
        <f t="shared" si="20"/>
        <v>Good</v>
      </c>
      <c r="P187" s="15">
        <f t="shared" si="21"/>
        <v>24.111111111111111</v>
      </c>
      <c r="Q187" s="14" t="str">
        <f t="shared" si="22"/>
        <v>No</v>
      </c>
      <c r="R187" s="14" t="str">
        <f t="shared" si="23"/>
        <v>Normal Students</v>
      </c>
      <c r="S187" s="14" t="str">
        <f t="shared" si="24"/>
        <v>Unbalanced Student</v>
      </c>
      <c r="T187" s="14" t="str">
        <f t="shared" si="25"/>
        <v>Medium</v>
      </c>
      <c r="U187" s="21" t="str">
        <f t="shared" si="26"/>
        <v>B</v>
      </c>
    </row>
    <row r="188" spans="2:21">
      <c r="B188" s="20">
        <v>185</v>
      </c>
      <c r="C188" s="14" t="s">
        <v>99</v>
      </c>
      <c r="D188" s="14" t="s">
        <v>12</v>
      </c>
      <c r="E188" s="14">
        <v>4</v>
      </c>
      <c r="F188" s="14">
        <v>85</v>
      </c>
      <c r="G188" s="14">
        <v>80</v>
      </c>
      <c r="H188" s="14">
        <v>82</v>
      </c>
      <c r="I188" s="14">
        <v>84</v>
      </c>
      <c r="J188" s="14" t="s">
        <v>13</v>
      </c>
      <c r="K188" s="14">
        <v>7</v>
      </c>
      <c r="L188" s="14">
        <v>3</v>
      </c>
      <c r="M188" s="15">
        <f t="shared" si="18"/>
        <v>246</v>
      </c>
      <c r="N188" s="15">
        <f t="shared" si="19"/>
        <v>82</v>
      </c>
      <c r="O188" s="14" t="str">
        <f t="shared" si="20"/>
        <v>Excellent</v>
      </c>
      <c r="P188" s="15">
        <f t="shared" si="21"/>
        <v>20.5</v>
      </c>
      <c r="Q188" s="14" t="str">
        <f t="shared" si="22"/>
        <v>No</v>
      </c>
      <c r="R188" s="14" t="str">
        <f t="shared" si="23"/>
        <v>Normal Students</v>
      </c>
      <c r="S188" s="14" t="str">
        <f t="shared" si="24"/>
        <v>Balanced Student</v>
      </c>
      <c r="T188" s="14" t="str">
        <f t="shared" si="25"/>
        <v>High</v>
      </c>
      <c r="U188" s="21" t="str">
        <f t="shared" si="26"/>
        <v>A</v>
      </c>
    </row>
    <row r="189" spans="2:21">
      <c r="B189" s="20">
        <v>186</v>
      </c>
      <c r="C189" s="14" t="s">
        <v>100</v>
      </c>
      <c r="D189" s="14" t="s">
        <v>15</v>
      </c>
      <c r="E189" s="14">
        <v>5</v>
      </c>
      <c r="F189" s="14">
        <v>90</v>
      </c>
      <c r="G189" s="14">
        <v>86</v>
      </c>
      <c r="H189" s="14">
        <v>88</v>
      </c>
      <c r="I189" s="14">
        <v>89</v>
      </c>
      <c r="J189" s="14" t="s">
        <v>13</v>
      </c>
      <c r="K189" s="14">
        <v>6</v>
      </c>
      <c r="L189" s="14">
        <v>2</v>
      </c>
      <c r="M189" s="15">
        <f t="shared" si="18"/>
        <v>263</v>
      </c>
      <c r="N189" s="15">
        <f t="shared" si="19"/>
        <v>87.666666666666671</v>
      </c>
      <c r="O189" s="14" t="str">
        <f t="shared" si="20"/>
        <v>Excellent</v>
      </c>
      <c r="P189" s="15">
        <f t="shared" si="21"/>
        <v>17.533333333333335</v>
      </c>
      <c r="Q189" s="14" t="str">
        <f t="shared" si="22"/>
        <v>No</v>
      </c>
      <c r="R189" s="14" t="str">
        <f t="shared" si="23"/>
        <v>Normal Students</v>
      </c>
      <c r="S189" s="14" t="str">
        <f t="shared" si="24"/>
        <v>Balanced Student</v>
      </c>
      <c r="T189" s="14" t="str">
        <f t="shared" si="25"/>
        <v>High</v>
      </c>
      <c r="U189" s="21" t="str">
        <f t="shared" si="26"/>
        <v>A</v>
      </c>
    </row>
    <row r="190" spans="2:21">
      <c r="B190" s="20">
        <v>187</v>
      </c>
      <c r="C190" s="14" t="s">
        <v>101</v>
      </c>
      <c r="D190" s="14" t="s">
        <v>12</v>
      </c>
      <c r="E190" s="14">
        <v>2</v>
      </c>
      <c r="F190" s="14">
        <v>70</v>
      </c>
      <c r="G190" s="14">
        <v>62</v>
      </c>
      <c r="H190" s="14">
        <v>60</v>
      </c>
      <c r="I190" s="14">
        <v>66</v>
      </c>
      <c r="J190" s="14" t="s">
        <v>16</v>
      </c>
      <c r="K190" s="14">
        <v>8</v>
      </c>
      <c r="L190" s="14">
        <v>5</v>
      </c>
      <c r="M190" s="15">
        <f t="shared" si="18"/>
        <v>188</v>
      </c>
      <c r="N190" s="15">
        <f t="shared" si="19"/>
        <v>62.666666666666664</v>
      </c>
      <c r="O190" s="14" t="str">
        <f t="shared" si="20"/>
        <v>Good</v>
      </c>
      <c r="P190" s="15">
        <f t="shared" si="21"/>
        <v>31.333333333333332</v>
      </c>
      <c r="Q190" s="14" t="str">
        <f t="shared" si="22"/>
        <v>No</v>
      </c>
      <c r="R190" s="14" t="str">
        <f t="shared" si="23"/>
        <v>Normal Students</v>
      </c>
      <c r="S190" s="14" t="str">
        <f t="shared" si="24"/>
        <v>Unbalanced Student</v>
      </c>
      <c r="T190" s="14" t="str">
        <f t="shared" si="25"/>
        <v>Medium</v>
      </c>
      <c r="U190" s="21" t="str">
        <f t="shared" si="26"/>
        <v>C</v>
      </c>
    </row>
    <row r="191" spans="2:21">
      <c r="B191" s="20">
        <v>188</v>
      </c>
      <c r="C191" s="14" t="s">
        <v>102</v>
      </c>
      <c r="D191" s="14" t="s">
        <v>15</v>
      </c>
      <c r="E191" s="14">
        <v>4</v>
      </c>
      <c r="F191" s="14">
        <v>88</v>
      </c>
      <c r="G191" s="14">
        <v>84</v>
      </c>
      <c r="H191" s="14">
        <v>83</v>
      </c>
      <c r="I191" s="14">
        <v>86</v>
      </c>
      <c r="J191" s="14" t="s">
        <v>13</v>
      </c>
      <c r="K191" s="14">
        <v>7</v>
      </c>
      <c r="L191" s="14">
        <v>3</v>
      </c>
      <c r="M191" s="15">
        <f t="shared" si="18"/>
        <v>253</v>
      </c>
      <c r="N191" s="15">
        <f t="shared" si="19"/>
        <v>84.333333333333329</v>
      </c>
      <c r="O191" s="14" t="str">
        <f t="shared" si="20"/>
        <v>Excellent</v>
      </c>
      <c r="P191" s="15">
        <f t="shared" si="21"/>
        <v>21.083333333333332</v>
      </c>
      <c r="Q191" s="14" t="str">
        <f t="shared" si="22"/>
        <v>No</v>
      </c>
      <c r="R191" s="14" t="str">
        <f t="shared" si="23"/>
        <v>Normal Students</v>
      </c>
      <c r="S191" s="14" t="str">
        <f t="shared" si="24"/>
        <v>Balanced Student</v>
      </c>
      <c r="T191" s="14" t="str">
        <f t="shared" si="25"/>
        <v>High</v>
      </c>
      <c r="U191" s="21" t="str">
        <f t="shared" si="26"/>
        <v>A</v>
      </c>
    </row>
    <row r="192" spans="2:21">
      <c r="B192" s="20">
        <v>189</v>
      </c>
      <c r="C192" s="14" t="s">
        <v>103</v>
      </c>
      <c r="D192" s="14" t="s">
        <v>12</v>
      </c>
      <c r="E192" s="14">
        <v>3</v>
      </c>
      <c r="F192" s="14">
        <v>82</v>
      </c>
      <c r="G192" s="14">
        <v>76</v>
      </c>
      <c r="H192" s="14">
        <v>75</v>
      </c>
      <c r="I192" s="14">
        <v>80</v>
      </c>
      <c r="J192" s="14" t="s">
        <v>16</v>
      </c>
      <c r="K192" s="14">
        <v>7</v>
      </c>
      <c r="L192" s="14">
        <v>4</v>
      </c>
      <c r="M192" s="15">
        <f t="shared" si="18"/>
        <v>231</v>
      </c>
      <c r="N192" s="15">
        <f t="shared" si="19"/>
        <v>77</v>
      </c>
      <c r="O192" s="14" t="str">
        <f t="shared" si="20"/>
        <v>Good</v>
      </c>
      <c r="P192" s="15">
        <f t="shared" si="21"/>
        <v>25.666666666666668</v>
      </c>
      <c r="Q192" s="14" t="str">
        <f t="shared" si="22"/>
        <v>No</v>
      </c>
      <c r="R192" s="14" t="str">
        <f t="shared" si="23"/>
        <v>Normal Students</v>
      </c>
      <c r="S192" s="14" t="str">
        <f t="shared" si="24"/>
        <v>Unbalanced Student</v>
      </c>
      <c r="T192" s="14" t="str">
        <f t="shared" si="25"/>
        <v>High</v>
      </c>
      <c r="U192" s="21" t="str">
        <f t="shared" si="26"/>
        <v>B</v>
      </c>
    </row>
    <row r="193" spans="2:21">
      <c r="B193" s="20">
        <v>190</v>
      </c>
      <c r="C193" s="14" t="s">
        <v>104</v>
      </c>
      <c r="D193" s="14" t="s">
        <v>15</v>
      </c>
      <c r="E193" s="14">
        <v>5</v>
      </c>
      <c r="F193" s="14">
        <v>91</v>
      </c>
      <c r="G193" s="14">
        <v>87</v>
      </c>
      <c r="H193" s="14">
        <v>88</v>
      </c>
      <c r="I193" s="14">
        <v>90</v>
      </c>
      <c r="J193" s="14" t="s">
        <v>13</v>
      </c>
      <c r="K193" s="14">
        <v>6</v>
      </c>
      <c r="L193" s="14">
        <v>2</v>
      </c>
      <c r="M193" s="15">
        <f t="shared" si="18"/>
        <v>265</v>
      </c>
      <c r="N193" s="15">
        <f t="shared" si="19"/>
        <v>88.333333333333329</v>
      </c>
      <c r="O193" s="14" t="str">
        <f t="shared" si="20"/>
        <v>Excellent</v>
      </c>
      <c r="P193" s="15">
        <f t="shared" si="21"/>
        <v>17.666666666666664</v>
      </c>
      <c r="Q193" s="14" t="str">
        <f t="shared" si="22"/>
        <v>No</v>
      </c>
      <c r="R193" s="14" t="str">
        <f t="shared" si="23"/>
        <v>Normal Students</v>
      </c>
      <c r="S193" s="14" t="str">
        <f t="shared" si="24"/>
        <v>Balanced Student</v>
      </c>
      <c r="T193" s="14" t="str">
        <f t="shared" si="25"/>
        <v>High</v>
      </c>
      <c r="U193" s="21" t="str">
        <f t="shared" si="26"/>
        <v>A</v>
      </c>
    </row>
    <row r="194" spans="2:21">
      <c r="B194" s="20">
        <v>191</v>
      </c>
      <c r="C194" s="14" t="s">
        <v>105</v>
      </c>
      <c r="D194" s="14" t="s">
        <v>12</v>
      </c>
      <c r="E194" s="14">
        <v>2</v>
      </c>
      <c r="F194" s="14">
        <v>68</v>
      </c>
      <c r="G194" s="14">
        <v>60</v>
      </c>
      <c r="H194" s="14">
        <v>58</v>
      </c>
      <c r="I194" s="14">
        <v>64</v>
      </c>
      <c r="J194" s="14" t="s">
        <v>16</v>
      </c>
      <c r="K194" s="14">
        <v>8</v>
      </c>
      <c r="L194" s="14">
        <v>5</v>
      </c>
      <c r="M194" s="15">
        <f t="shared" si="18"/>
        <v>182</v>
      </c>
      <c r="N194" s="15">
        <f t="shared" si="19"/>
        <v>60.666666666666664</v>
      </c>
      <c r="O194" s="14" t="str">
        <f t="shared" si="20"/>
        <v>Good</v>
      </c>
      <c r="P194" s="15">
        <f t="shared" si="21"/>
        <v>30.333333333333332</v>
      </c>
      <c r="Q194" s="14" t="str">
        <f t="shared" si="22"/>
        <v>No</v>
      </c>
      <c r="R194" s="14" t="str">
        <f t="shared" si="23"/>
        <v>Normal Students</v>
      </c>
      <c r="S194" s="14" t="str">
        <f t="shared" si="24"/>
        <v>Unbalanced Student</v>
      </c>
      <c r="T194" s="14" t="str">
        <f t="shared" si="25"/>
        <v>Medium</v>
      </c>
      <c r="U194" s="21" t="str">
        <f t="shared" si="26"/>
        <v>C</v>
      </c>
    </row>
    <row r="195" spans="2:21">
      <c r="B195" s="20">
        <v>192</v>
      </c>
      <c r="C195" s="14" t="s">
        <v>106</v>
      </c>
      <c r="D195" s="14" t="s">
        <v>15</v>
      </c>
      <c r="E195" s="14">
        <v>4</v>
      </c>
      <c r="F195" s="14">
        <v>85</v>
      </c>
      <c r="G195" s="14">
        <v>81</v>
      </c>
      <c r="H195" s="14">
        <v>82</v>
      </c>
      <c r="I195" s="14">
        <v>84</v>
      </c>
      <c r="J195" s="14" t="s">
        <v>13</v>
      </c>
      <c r="K195" s="14">
        <v>7</v>
      </c>
      <c r="L195" s="14">
        <v>3</v>
      </c>
      <c r="M195" s="15">
        <f t="shared" si="18"/>
        <v>247</v>
      </c>
      <c r="N195" s="15">
        <f t="shared" si="19"/>
        <v>82.333333333333329</v>
      </c>
      <c r="O195" s="14" t="str">
        <f t="shared" si="20"/>
        <v>Excellent</v>
      </c>
      <c r="P195" s="15">
        <f t="shared" si="21"/>
        <v>20.583333333333332</v>
      </c>
      <c r="Q195" s="14" t="str">
        <f t="shared" si="22"/>
        <v>No</v>
      </c>
      <c r="R195" s="14" t="str">
        <f t="shared" si="23"/>
        <v>Normal Students</v>
      </c>
      <c r="S195" s="14" t="str">
        <f t="shared" si="24"/>
        <v>Balanced Student</v>
      </c>
      <c r="T195" s="14" t="str">
        <f t="shared" si="25"/>
        <v>High</v>
      </c>
      <c r="U195" s="21" t="str">
        <f t="shared" si="26"/>
        <v>A</v>
      </c>
    </row>
    <row r="196" spans="2:21">
      <c r="B196" s="20">
        <v>193</v>
      </c>
      <c r="C196" s="14" t="s">
        <v>107</v>
      </c>
      <c r="D196" s="14" t="s">
        <v>12</v>
      </c>
      <c r="E196" s="14">
        <v>6</v>
      </c>
      <c r="F196" s="14">
        <v>94</v>
      </c>
      <c r="G196" s="14">
        <v>91</v>
      </c>
      <c r="H196" s="14">
        <v>90</v>
      </c>
      <c r="I196" s="14">
        <v>92</v>
      </c>
      <c r="J196" s="14" t="s">
        <v>16</v>
      </c>
      <c r="K196" s="14">
        <v>6</v>
      </c>
      <c r="L196" s="14">
        <v>2</v>
      </c>
      <c r="M196" s="15">
        <f t="shared" si="18"/>
        <v>273</v>
      </c>
      <c r="N196" s="15">
        <f t="shared" si="19"/>
        <v>91</v>
      </c>
      <c r="O196" s="14" t="str">
        <f t="shared" si="20"/>
        <v>Excellent</v>
      </c>
      <c r="P196" s="15">
        <f t="shared" si="21"/>
        <v>15.166666666666666</v>
      </c>
      <c r="Q196" s="14" t="str">
        <f t="shared" si="22"/>
        <v>No</v>
      </c>
      <c r="R196" s="14" t="str">
        <f t="shared" si="23"/>
        <v>Normal Students</v>
      </c>
      <c r="S196" s="14" t="str">
        <f t="shared" si="24"/>
        <v>Balanced Student</v>
      </c>
      <c r="T196" s="14" t="str">
        <f t="shared" si="25"/>
        <v>High</v>
      </c>
      <c r="U196" s="21" t="str">
        <f t="shared" si="26"/>
        <v>A</v>
      </c>
    </row>
    <row r="197" spans="2:21">
      <c r="B197" s="20">
        <v>194</v>
      </c>
      <c r="C197" s="14" t="s">
        <v>108</v>
      </c>
      <c r="D197" s="14" t="s">
        <v>15</v>
      </c>
      <c r="E197" s="14">
        <v>3</v>
      </c>
      <c r="F197" s="14">
        <v>79</v>
      </c>
      <c r="G197" s="14">
        <v>74</v>
      </c>
      <c r="H197" s="14">
        <v>72</v>
      </c>
      <c r="I197" s="14">
        <v>77</v>
      </c>
      <c r="J197" s="14" t="s">
        <v>13</v>
      </c>
      <c r="K197" s="14">
        <v>7</v>
      </c>
      <c r="L197" s="14">
        <v>4</v>
      </c>
      <c r="M197" s="15">
        <f t="shared" ref="M197:M260" si="27">SUM(G197:I197)</f>
        <v>223</v>
      </c>
      <c r="N197" s="15">
        <f t="shared" ref="N197:N260" si="28">AVERAGE(G197:I197)</f>
        <v>74.333333333333329</v>
      </c>
      <c r="O197" s="14" t="str">
        <f t="shared" ref="O197:O260" si="29">IF(N197&gt;= 80, "Excellent",IF(N197&gt;=60, "Good","Needs Improvement"))</f>
        <v>Good</v>
      </c>
      <c r="P197" s="15">
        <f t="shared" ref="P197:P260" si="30">IF(E197,N197/E197,0)</f>
        <v>24.777777777777775</v>
      </c>
      <c r="Q197" s="14" t="str">
        <f t="shared" ref="Q197:Q260" si="31">IF(AND(F197 &lt; 75,N197 &lt; 60),"Yes", "No")</f>
        <v>No</v>
      </c>
      <c r="R197" s="14" t="str">
        <f t="shared" ref="R197:R260" si="32">IF(AND(N197&gt;=80,E197&lt;=2),"Smart Students","Normal Students")</f>
        <v>Normal Students</v>
      </c>
      <c r="S197" s="14" t="str">
        <f t="shared" ref="S197:S260" si="33">IF(AND(F197&gt;=75,K197&gt;=6,N197&gt;=80),"Balanced Student","Unbalanced Student")</f>
        <v>Unbalanced Student</v>
      </c>
      <c r="T197" s="14" t="str">
        <f t="shared" ref="T197:T260" si="34">IF(F197&gt;= 80, "High",
IF(F197&gt;=60,"Medium", "Low"))</f>
        <v>Medium</v>
      </c>
      <c r="U197" s="21" t="str">
        <f t="shared" ref="U197:U260" si="35">VLOOKUP(N197,$AA$5:$AB$9,2,1)</f>
        <v>B</v>
      </c>
    </row>
    <row r="198" spans="2:21">
      <c r="B198" s="20">
        <v>195</v>
      </c>
      <c r="C198" s="14" t="s">
        <v>109</v>
      </c>
      <c r="D198" s="14" t="s">
        <v>12</v>
      </c>
      <c r="E198" s="14">
        <v>2</v>
      </c>
      <c r="F198" s="14">
        <v>72</v>
      </c>
      <c r="G198" s="14">
        <v>65</v>
      </c>
      <c r="H198" s="14">
        <v>64</v>
      </c>
      <c r="I198" s="14">
        <v>68</v>
      </c>
      <c r="J198" s="14" t="s">
        <v>16</v>
      </c>
      <c r="K198" s="14">
        <v>8</v>
      </c>
      <c r="L198" s="14">
        <v>5</v>
      </c>
      <c r="M198" s="15">
        <f t="shared" si="27"/>
        <v>197</v>
      </c>
      <c r="N198" s="15">
        <f t="shared" si="28"/>
        <v>65.666666666666671</v>
      </c>
      <c r="O198" s="14" t="str">
        <f t="shared" si="29"/>
        <v>Good</v>
      </c>
      <c r="P198" s="15">
        <f t="shared" si="30"/>
        <v>32.833333333333336</v>
      </c>
      <c r="Q198" s="14" t="str">
        <f t="shared" si="31"/>
        <v>No</v>
      </c>
      <c r="R198" s="14" t="str">
        <f t="shared" si="32"/>
        <v>Normal Students</v>
      </c>
      <c r="S198" s="14" t="str">
        <f t="shared" si="33"/>
        <v>Unbalanced Student</v>
      </c>
      <c r="T198" s="14" t="str">
        <f t="shared" si="34"/>
        <v>Medium</v>
      </c>
      <c r="U198" s="21" t="str">
        <f t="shared" si="35"/>
        <v>C</v>
      </c>
    </row>
    <row r="199" spans="2:21">
      <c r="B199" s="20">
        <v>196</v>
      </c>
      <c r="C199" s="14" t="s">
        <v>110</v>
      </c>
      <c r="D199" s="14" t="s">
        <v>15</v>
      </c>
      <c r="E199" s="14">
        <v>5</v>
      </c>
      <c r="F199" s="14">
        <v>90</v>
      </c>
      <c r="G199" s="14">
        <v>86</v>
      </c>
      <c r="H199" s="14">
        <v>88</v>
      </c>
      <c r="I199" s="14">
        <v>89</v>
      </c>
      <c r="J199" s="14" t="s">
        <v>13</v>
      </c>
      <c r="K199" s="14">
        <v>6</v>
      </c>
      <c r="L199" s="14">
        <v>2</v>
      </c>
      <c r="M199" s="15">
        <f t="shared" si="27"/>
        <v>263</v>
      </c>
      <c r="N199" s="15">
        <f t="shared" si="28"/>
        <v>87.666666666666671</v>
      </c>
      <c r="O199" s="14" t="str">
        <f t="shared" si="29"/>
        <v>Excellent</v>
      </c>
      <c r="P199" s="15">
        <f t="shared" si="30"/>
        <v>17.533333333333335</v>
      </c>
      <c r="Q199" s="14" t="str">
        <f t="shared" si="31"/>
        <v>No</v>
      </c>
      <c r="R199" s="14" t="str">
        <f t="shared" si="32"/>
        <v>Normal Students</v>
      </c>
      <c r="S199" s="14" t="str">
        <f t="shared" si="33"/>
        <v>Balanced Student</v>
      </c>
      <c r="T199" s="14" t="str">
        <f t="shared" si="34"/>
        <v>High</v>
      </c>
      <c r="U199" s="21" t="str">
        <f t="shared" si="35"/>
        <v>A</v>
      </c>
    </row>
    <row r="200" spans="2:21">
      <c r="B200" s="20">
        <v>197</v>
      </c>
      <c r="C200" s="14" t="s">
        <v>111</v>
      </c>
      <c r="D200" s="14" t="s">
        <v>12</v>
      </c>
      <c r="E200" s="14">
        <v>3</v>
      </c>
      <c r="F200" s="14">
        <v>80</v>
      </c>
      <c r="G200" s="14">
        <v>75</v>
      </c>
      <c r="H200" s="14">
        <v>73</v>
      </c>
      <c r="I200" s="14">
        <v>78</v>
      </c>
      <c r="J200" s="14" t="s">
        <v>13</v>
      </c>
      <c r="K200" s="14">
        <v>7</v>
      </c>
      <c r="L200" s="14">
        <v>4</v>
      </c>
      <c r="M200" s="15">
        <f t="shared" si="27"/>
        <v>226</v>
      </c>
      <c r="N200" s="15">
        <f t="shared" si="28"/>
        <v>75.333333333333329</v>
      </c>
      <c r="O200" s="14" t="str">
        <f t="shared" si="29"/>
        <v>Good</v>
      </c>
      <c r="P200" s="15">
        <f t="shared" si="30"/>
        <v>25.111111111111111</v>
      </c>
      <c r="Q200" s="14" t="str">
        <f t="shared" si="31"/>
        <v>No</v>
      </c>
      <c r="R200" s="14" t="str">
        <f t="shared" si="32"/>
        <v>Normal Students</v>
      </c>
      <c r="S200" s="14" t="str">
        <f t="shared" si="33"/>
        <v>Unbalanced Student</v>
      </c>
      <c r="T200" s="14" t="str">
        <f t="shared" si="34"/>
        <v>High</v>
      </c>
      <c r="U200" s="21" t="str">
        <f t="shared" si="35"/>
        <v>B</v>
      </c>
    </row>
    <row r="201" spans="2:21">
      <c r="B201" s="20">
        <v>198</v>
      </c>
      <c r="C201" s="14" t="s">
        <v>112</v>
      </c>
      <c r="D201" s="14" t="s">
        <v>15</v>
      </c>
      <c r="E201" s="14">
        <v>4</v>
      </c>
      <c r="F201" s="14">
        <v>87</v>
      </c>
      <c r="G201" s="14">
        <v>83</v>
      </c>
      <c r="H201" s="14">
        <v>81</v>
      </c>
      <c r="I201" s="14">
        <v>85</v>
      </c>
      <c r="J201" s="14" t="s">
        <v>16</v>
      </c>
      <c r="K201" s="14">
        <v>6</v>
      </c>
      <c r="L201" s="14">
        <v>3</v>
      </c>
      <c r="M201" s="15">
        <f t="shared" si="27"/>
        <v>249</v>
      </c>
      <c r="N201" s="15">
        <f t="shared" si="28"/>
        <v>83</v>
      </c>
      <c r="O201" s="14" t="str">
        <f t="shared" si="29"/>
        <v>Excellent</v>
      </c>
      <c r="P201" s="15">
        <f t="shared" si="30"/>
        <v>20.75</v>
      </c>
      <c r="Q201" s="14" t="str">
        <f t="shared" si="31"/>
        <v>No</v>
      </c>
      <c r="R201" s="14" t="str">
        <f t="shared" si="32"/>
        <v>Normal Students</v>
      </c>
      <c r="S201" s="14" t="str">
        <f t="shared" si="33"/>
        <v>Balanced Student</v>
      </c>
      <c r="T201" s="14" t="str">
        <f t="shared" si="34"/>
        <v>High</v>
      </c>
      <c r="U201" s="21" t="str">
        <f t="shared" si="35"/>
        <v>A</v>
      </c>
    </row>
    <row r="202" spans="2:21">
      <c r="B202" s="20">
        <v>199</v>
      </c>
      <c r="C202" s="14" t="s">
        <v>113</v>
      </c>
      <c r="D202" s="14" t="s">
        <v>12</v>
      </c>
      <c r="E202" s="14">
        <v>1</v>
      </c>
      <c r="F202" s="14">
        <v>62</v>
      </c>
      <c r="G202" s="14">
        <v>52</v>
      </c>
      <c r="H202" s="14">
        <v>50</v>
      </c>
      <c r="I202" s="14">
        <v>57</v>
      </c>
      <c r="J202" s="14" t="s">
        <v>16</v>
      </c>
      <c r="K202" s="14">
        <v>8</v>
      </c>
      <c r="L202" s="14">
        <v>6</v>
      </c>
      <c r="M202" s="15">
        <f t="shared" si="27"/>
        <v>159</v>
      </c>
      <c r="N202" s="15">
        <f t="shared" si="28"/>
        <v>53</v>
      </c>
      <c r="O202" s="14" t="str">
        <f t="shared" si="29"/>
        <v>Needs Improvement</v>
      </c>
      <c r="P202" s="15">
        <f t="shared" si="30"/>
        <v>53</v>
      </c>
      <c r="Q202" s="14" t="str">
        <f t="shared" si="31"/>
        <v>Yes</v>
      </c>
      <c r="R202" s="14" t="str">
        <f t="shared" si="32"/>
        <v>Normal Students</v>
      </c>
      <c r="S202" s="14" t="str">
        <f t="shared" si="33"/>
        <v>Unbalanced Student</v>
      </c>
      <c r="T202" s="14" t="str">
        <f t="shared" si="34"/>
        <v>Medium</v>
      </c>
      <c r="U202" s="21" t="str">
        <f t="shared" si="35"/>
        <v>D</v>
      </c>
    </row>
    <row r="203" spans="2:21">
      <c r="B203" s="20">
        <v>200</v>
      </c>
      <c r="C203" s="14" t="s">
        <v>114</v>
      </c>
      <c r="D203" s="14" t="s">
        <v>15</v>
      </c>
      <c r="E203" s="14">
        <v>5</v>
      </c>
      <c r="F203" s="14">
        <v>92</v>
      </c>
      <c r="G203" s="14">
        <v>89</v>
      </c>
      <c r="H203" s="14">
        <v>90</v>
      </c>
      <c r="I203" s="14">
        <v>93</v>
      </c>
      <c r="J203" s="14" t="s">
        <v>13</v>
      </c>
      <c r="K203" s="14">
        <v>6</v>
      </c>
      <c r="L203" s="14">
        <v>2</v>
      </c>
      <c r="M203" s="15">
        <f t="shared" si="27"/>
        <v>272</v>
      </c>
      <c r="N203" s="15">
        <f t="shared" si="28"/>
        <v>90.666666666666671</v>
      </c>
      <c r="O203" s="14" t="str">
        <f t="shared" si="29"/>
        <v>Excellent</v>
      </c>
      <c r="P203" s="15">
        <f t="shared" si="30"/>
        <v>18.133333333333333</v>
      </c>
      <c r="Q203" s="14" t="str">
        <f t="shared" si="31"/>
        <v>No</v>
      </c>
      <c r="R203" s="14" t="str">
        <f t="shared" si="32"/>
        <v>Normal Students</v>
      </c>
      <c r="S203" s="14" t="str">
        <f t="shared" si="33"/>
        <v>Balanced Student</v>
      </c>
      <c r="T203" s="14" t="str">
        <f t="shared" si="34"/>
        <v>High</v>
      </c>
      <c r="U203" s="21" t="str">
        <f t="shared" si="35"/>
        <v>A</v>
      </c>
    </row>
    <row r="204" spans="2:21">
      <c r="B204" s="20">
        <v>201</v>
      </c>
      <c r="C204" s="14" t="s">
        <v>65</v>
      </c>
      <c r="D204" s="14" t="s">
        <v>66</v>
      </c>
      <c r="E204" s="14">
        <v>3</v>
      </c>
      <c r="F204" s="14">
        <v>85</v>
      </c>
      <c r="G204" s="14">
        <v>78</v>
      </c>
      <c r="H204" s="14">
        <v>72</v>
      </c>
      <c r="I204" s="14">
        <v>80</v>
      </c>
      <c r="J204" s="14" t="s">
        <v>67</v>
      </c>
      <c r="K204" s="14">
        <v>7</v>
      </c>
      <c r="L204" s="14">
        <v>3</v>
      </c>
      <c r="M204" s="15">
        <f t="shared" si="27"/>
        <v>230</v>
      </c>
      <c r="N204" s="15">
        <f t="shared" si="28"/>
        <v>76.666666666666671</v>
      </c>
      <c r="O204" s="14" t="str">
        <f t="shared" si="29"/>
        <v>Good</v>
      </c>
      <c r="P204" s="15">
        <f t="shared" si="30"/>
        <v>25.555555555555557</v>
      </c>
      <c r="Q204" s="14" t="str">
        <f t="shared" si="31"/>
        <v>No</v>
      </c>
      <c r="R204" s="14" t="str">
        <f t="shared" si="32"/>
        <v>Normal Students</v>
      </c>
      <c r="S204" s="14" t="str">
        <f t="shared" si="33"/>
        <v>Unbalanced Student</v>
      </c>
      <c r="T204" s="14" t="str">
        <f t="shared" si="34"/>
        <v>High</v>
      </c>
      <c r="U204" s="21" t="str">
        <f t="shared" si="35"/>
        <v>B</v>
      </c>
    </row>
    <row r="205" spans="2:21">
      <c r="B205" s="20">
        <v>202</v>
      </c>
      <c r="C205" s="14" t="s">
        <v>115</v>
      </c>
      <c r="D205" s="14" t="s">
        <v>69</v>
      </c>
      <c r="E205" s="14">
        <v>4</v>
      </c>
      <c r="F205" s="14">
        <v>88</v>
      </c>
      <c r="G205" s="14">
        <v>82</v>
      </c>
      <c r="H205" s="14">
        <v>79</v>
      </c>
      <c r="I205" s="14">
        <v>85</v>
      </c>
      <c r="J205" s="14" t="s">
        <v>70</v>
      </c>
      <c r="K205" s="14">
        <v>7</v>
      </c>
      <c r="L205" s="14">
        <v>3</v>
      </c>
      <c r="M205" s="15">
        <f t="shared" si="27"/>
        <v>246</v>
      </c>
      <c r="N205" s="15">
        <f t="shared" si="28"/>
        <v>82</v>
      </c>
      <c r="O205" s="14" t="str">
        <f t="shared" si="29"/>
        <v>Excellent</v>
      </c>
      <c r="P205" s="15">
        <f t="shared" si="30"/>
        <v>20.5</v>
      </c>
      <c r="Q205" s="14" t="str">
        <f t="shared" si="31"/>
        <v>No</v>
      </c>
      <c r="R205" s="14" t="str">
        <f t="shared" si="32"/>
        <v>Normal Students</v>
      </c>
      <c r="S205" s="14" t="str">
        <f t="shared" si="33"/>
        <v>Balanced Student</v>
      </c>
      <c r="T205" s="14" t="str">
        <f t="shared" si="34"/>
        <v>High</v>
      </c>
      <c r="U205" s="21" t="str">
        <f t="shared" si="35"/>
        <v>A</v>
      </c>
    </row>
    <row r="206" spans="2:21">
      <c r="B206" s="20">
        <v>203</v>
      </c>
      <c r="C206" s="14" t="s">
        <v>165</v>
      </c>
      <c r="D206" s="14" t="s">
        <v>15</v>
      </c>
      <c r="E206" s="14">
        <v>5</v>
      </c>
      <c r="F206" s="14">
        <v>90</v>
      </c>
      <c r="G206" s="14">
        <v>85</v>
      </c>
      <c r="H206" s="14">
        <v>87</v>
      </c>
      <c r="I206" s="14">
        <v>89</v>
      </c>
      <c r="J206" s="14" t="s">
        <v>13</v>
      </c>
      <c r="K206" s="14">
        <v>6</v>
      </c>
      <c r="L206" s="14">
        <v>2</v>
      </c>
      <c r="M206" s="15">
        <f t="shared" si="27"/>
        <v>261</v>
      </c>
      <c r="N206" s="15">
        <f t="shared" si="28"/>
        <v>87</v>
      </c>
      <c r="O206" s="14" t="str">
        <f t="shared" si="29"/>
        <v>Excellent</v>
      </c>
      <c r="P206" s="15">
        <f t="shared" si="30"/>
        <v>17.399999999999999</v>
      </c>
      <c r="Q206" s="14" t="str">
        <f t="shared" si="31"/>
        <v>No</v>
      </c>
      <c r="R206" s="14" t="str">
        <f t="shared" si="32"/>
        <v>Normal Students</v>
      </c>
      <c r="S206" s="14" t="str">
        <f t="shared" si="33"/>
        <v>Balanced Student</v>
      </c>
      <c r="T206" s="14" t="str">
        <f t="shared" si="34"/>
        <v>High</v>
      </c>
      <c r="U206" s="21" t="str">
        <f t="shared" si="35"/>
        <v>A</v>
      </c>
    </row>
    <row r="207" spans="2:21">
      <c r="B207" s="20">
        <v>204</v>
      </c>
      <c r="C207" s="14" t="s">
        <v>116</v>
      </c>
      <c r="D207" s="14" t="s">
        <v>12</v>
      </c>
      <c r="E207" s="14">
        <v>4</v>
      </c>
      <c r="F207" s="14">
        <v>86</v>
      </c>
      <c r="G207" s="14">
        <v>82</v>
      </c>
      <c r="H207" s="14">
        <v>80</v>
      </c>
      <c r="I207" s="14">
        <v>84</v>
      </c>
      <c r="J207" s="14" t="s">
        <v>13</v>
      </c>
      <c r="K207" s="14">
        <v>7</v>
      </c>
      <c r="L207" s="14">
        <v>3</v>
      </c>
      <c r="M207" s="15">
        <f t="shared" si="27"/>
        <v>246</v>
      </c>
      <c r="N207" s="15">
        <f t="shared" si="28"/>
        <v>82</v>
      </c>
      <c r="O207" s="14" t="str">
        <f t="shared" si="29"/>
        <v>Excellent</v>
      </c>
      <c r="P207" s="15">
        <f t="shared" si="30"/>
        <v>20.5</v>
      </c>
      <c r="Q207" s="14" t="str">
        <f t="shared" si="31"/>
        <v>No</v>
      </c>
      <c r="R207" s="14" t="str">
        <f t="shared" si="32"/>
        <v>Normal Students</v>
      </c>
      <c r="S207" s="14" t="str">
        <f t="shared" si="33"/>
        <v>Balanced Student</v>
      </c>
      <c r="T207" s="14" t="str">
        <f t="shared" si="34"/>
        <v>High</v>
      </c>
      <c r="U207" s="21" t="str">
        <f t="shared" si="35"/>
        <v>A</v>
      </c>
    </row>
    <row r="208" spans="2:21">
      <c r="B208" s="20">
        <v>205</v>
      </c>
      <c r="C208" s="14" t="s">
        <v>117</v>
      </c>
      <c r="D208" s="14" t="s">
        <v>15</v>
      </c>
      <c r="E208" s="14">
        <v>5</v>
      </c>
      <c r="F208" s="14">
        <v>91</v>
      </c>
      <c r="G208" s="14">
        <v>87</v>
      </c>
      <c r="H208" s="14">
        <v>88</v>
      </c>
      <c r="I208" s="14">
        <v>90</v>
      </c>
      <c r="J208" s="14" t="s">
        <v>13</v>
      </c>
      <c r="K208" s="14">
        <v>6</v>
      </c>
      <c r="L208" s="14">
        <v>2</v>
      </c>
      <c r="M208" s="15">
        <f t="shared" si="27"/>
        <v>265</v>
      </c>
      <c r="N208" s="15">
        <f t="shared" si="28"/>
        <v>88.333333333333329</v>
      </c>
      <c r="O208" s="14" t="str">
        <f t="shared" si="29"/>
        <v>Excellent</v>
      </c>
      <c r="P208" s="15">
        <f t="shared" si="30"/>
        <v>17.666666666666664</v>
      </c>
      <c r="Q208" s="14" t="str">
        <f t="shared" si="31"/>
        <v>No</v>
      </c>
      <c r="R208" s="14" t="str">
        <f t="shared" si="32"/>
        <v>Normal Students</v>
      </c>
      <c r="S208" s="14" t="str">
        <f t="shared" si="33"/>
        <v>Balanced Student</v>
      </c>
      <c r="T208" s="14" t="str">
        <f t="shared" si="34"/>
        <v>High</v>
      </c>
      <c r="U208" s="21" t="str">
        <f t="shared" si="35"/>
        <v>A</v>
      </c>
    </row>
    <row r="209" spans="2:21">
      <c r="B209" s="20">
        <v>206</v>
      </c>
      <c r="C209" s="14" t="s">
        <v>118</v>
      </c>
      <c r="D209" s="14" t="s">
        <v>12</v>
      </c>
      <c r="E209" s="14">
        <v>3</v>
      </c>
      <c r="F209" s="14">
        <v>80</v>
      </c>
      <c r="G209" s="14">
        <v>75</v>
      </c>
      <c r="H209" s="14">
        <v>73</v>
      </c>
      <c r="I209" s="14">
        <v>78</v>
      </c>
      <c r="J209" s="14" t="s">
        <v>16</v>
      </c>
      <c r="K209" s="14">
        <v>7</v>
      </c>
      <c r="L209" s="14">
        <v>4</v>
      </c>
      <c r="M209" s="15">
        <f t="shared" si="27"/>
        <v>226</v>
      </c>
      <c r="N209" s="15">
        <f t="shared" si="28"/>
        <v>75.333333333333329</v>
      </c>
      <c r="O209" s="14" t="str">
        <f t="shared" si="29"/>
        <v>Good</v>
      </c>
      <c r="P209" s="15">
        <f t="shared" si="30"/>
        <v>25.111111111111111</v>
      </c>
      <c r="Q209" s="14" t="str">
        <f t="shared" si="31"/>
        <v>No</v>
      </c>
      <c r="R209" s="14" t="str">
        <f t="shared" si="32"/>
        <v>Normal Students</v>
      </c>
      <c r="S209" s="14" t="str">
        <f t="shared" si="33"/>
        <v>Unbalanced Student</v>
      </c>
      <c r="T209" s="14" t="str">
        <f t="shared" si="34"/>
        <v>High</v>
      </c>
      <c r="U209" s="21" t="str">
        <f t="shared" si="35"/>
        <v>B</v>
      </c>
    </row>
    <row r="210" spans="2:21">
      <c r="B210" s="20">
        <v>207</v>
      </c>
      <c r="C210" s="14" t="s">
        <v>119</v>
      </c>
      <c r="D210" s="14" t="s">
        <v>15</v>
      </c>
      <c r="E210" s="14">
        <v>4</v>
      </c>
      <c r="F210" s="14">
        <v>87</v>
      </c>
      <c r="G210" s="14">
        <v>83</v>
      </c>
      <c r="H210" s="14">
        <v>81</v>
      </c>
      <c r="I210" s="14">
        <v>85</v>
      </c>
      <c r="J210" s="14" t="s">
        <v>13</v>
      </c>
      <c r="K210" s="14">
        <v>6</v>
      </c>
      <c r="L210" s="14">
        <v>3</v>
      </c>
      <c r="M210" s="15">
        <f t="shared" si="27"/>
        <v>249</v>
      </c>
      <c r="N210" s="15">
        <f t="shared" si="28"/>
        <v>83</v>
      </c>
      <c r="O210" s="14" t="str">
        <f t="shared" si="29"/>
        <v>Excellent</v>
      </c>
      <c r="P210" s="15">
        <f t="shared" si="30"/>
        <v>20.75</v>
      </c>
      <c r="Q210" s="14" t="str">
        <f t="shared" si="31"/>
        <v>No</v>
      </c>
      <c r="R210" s="14" t="str">
        <f t="shared" si="32"/>
        <v>Normal Students</v>
      </c>
      <c r="S210" s="14" t="str">
        <f t="shared" si="33"/>
        <v>Balanced Student</v>
      </c>
      <c r="T210" s="14" t="str">
        <f t="shared" si="34"/>
        <v>High</v>
      </c>
      <c r="U210" s="21" t="str">
        <f t="shared" si="35"/>
        <v>A</v>
      </c>
    </row>
    <row r="211" spans="2:21">
      <c r="B211" s="20">
        <v>208</v>
      </c>
      <c r="C211" s="14" t="s">
        <v>120</v>
      </c>
      <c r="D211" s="14" t="s">
        <v>12</v>
      </c>
      <c r="E211" s="14">
        <v>2</v>
      </c>
      <c r="F211" s="14">
        <v>70</v>
      </c>
      <c r="G211" s="14">
        <v>62</v>
      </c>
      <c r="H211" s="14">
        <v>60</v>
      </c>
      <c r="I211" s="14">
        <v>66</v>
      </c>
      <c r="J211" s="14" t="s">
        <v>16</v>
      </c>
      <c r="K211" s="14">
        <v>8</v>
      </c>
      <c r="L211" s="14">
        <v>5</v>
      </c>
      <c r="M211" s="15">
        <f t="shared" si="27"/>
        <v>188</v>
      </c>
      <c r="N211" s="15">
        <f t="shared" si="28"/>
        <v>62.666666666666664</v>
      </c>
      <c r="O211" s="14" t="str">
        <f t="shared" si="29"/>
        <v>Good</v>
      </c>
      <c r="P211" s="15">
        <f t="shared" si="30"/>
        <v>31.333333333333332</v>
      </c>
      <c r="Q211" s="14" t="str">
        <f t="shared" si="31"/>
        <v>No</v>
      </c>
      <c r="R211" s="14" t="str">
        <f t="shared" si="32"/>
        <v>Normal Students</v>
      </c>
      <c r="S211" s="14" t="str">
        <f t="shared" si="33"/>
        <v>Unbalanced Student</v>
      </c>
      <c r="T211" s="14" t="str">
        <f t="shared" si="34"/>
        <v>Medium</v>
      </c>
      <c r="U211" s="21" t="str">
        <f t="shared" si="35"/>
        <v>C</v>
      </c>
    </row>
    <row r="212" spans="2:21">
      <c r="B212" s="20">
        <v>209</v>
      </c>
      <c r="C212" s="14" t="s">
        <v>121</v>
      </c>
      <c r="D212" s="14" t="s">
        <v>15</v>
      </c>
      <c r="E212" s="14">
        <v>5</v>
      </c>
      <c r="F212" s="14">
        <v>92</v>
      </c>
      <c r="G212" s="14">
        <v>88</v>
      </c>
      <c r="H212" s="14">
        <v>90</v>
      </c>
      <c r="I212" s="14">
        <v>91</v>
      </c>
      <c r="J212" s="14" t="s">
        <v>13</v>
      </c>
      <c r="K212" s="14">
        <v>6</v>
      </c>
      <c r="L212" s="14">
        <v>2</v>
      </c>
      <c r="M212" s="15">
        <f t="shared" si="27"/>
        <v>269</v>
      </c>
      <c r="N212" s="15">
        <f t="shared" si="28"/>
        <v>89.666666666666671</v>
      </c>
      <c r="O212" s="14" t="str">
        <f t="shared" si="29"/>
        <v>Excellent</v>
      </c>
      <c r="P212" s="15">
        <f t="shared" si="30"/>
        <v>17.933333333333334</v>
      </c>
      <c r="Q212" s="14" t="str">
        <f t="shared" si="31"/>
        <v>No</v>
      </c>
      <c r="R212" s="14" t="str">
        <f t="shared" si="32"/>
        <v>Normal Students</v>
      </c>
      <c r="S212" s="14" t="str">
        <f t="shared" si="33"/>
        <v>Balanced Student</v>
      </c>
      <c r="T212" s="14" t="str">
        <f t="shared" si="34"/>
        <v>High</v>
      </c>
      <c r="U212" s="21" t="str">
        <f t="shared" si="35"/>
        <v>A</v>
      </c>
    </row>
    <row r="213" spans="2:21">
      <c r="B213" s="20">
        <v>210</v>
      </c>
      <c r="C213" s="14" t="s">
        <v>122</v>
      </c>
      <c r="D213" s="14" t="s">
        <v>12</v>
      </c>
      <c r="E213" s="14">
        <v>3</v>
      </c>
      <c r="F213" s="14">
        <v>78</v>
      </c>
      <c r="G213" s="14">
        <v>72</v>
      </c>
      <c r="H213" s="14">
        <v>70</v>
      </c>
      <c r="I213" s="14">
        <v>75</v>
      </c>
      <c r="J213" s="14" t="s">
        <v>13</v>
      </c>
      <c r="K213" s="14">
        <v>7</v>
      </c>
      <c r="L213" s="14">
        <v>4</v>
      </c>
      <c r="M213" s="15">
        <f t="shared" si="27"/>
        <v>217</v>
      </c>
      <c r="N213" s="15">
        <f t="shared" si="28"/>
        <v>72.333333333333329</v>
      </c>
      <c r="O213" s="14" t="str">
        <f t="shared" si="29"/>
        <v>Good</v>
      </c>
      <c r="P213" s="15">
        <f t="shared" si="30"/>
        <v>24.111111111111111</v>
      </c>
      <c r="Q213" s="14" t="str">
        <f t="shared" si="31"/>
        <v>No</v>
      </c>
      <c r="R213" s="14" t="str">
        <f t="shared" si="32"/>
        <v>Normal Students</v>
      </c>
      <c r="S213" s="14" t="str">
        <f t="shared" si="33"/>
        <v>Unbalanced Student</v>
      </c>
      <c r="T213" s="14" t="str">
        <f t="shared" si="34"/>
        <v>Medium</v>
      </c>
      <c r="U213" s="21" t="str">
        <f t="shared" si="35"/>
        <v>B</v>
      </c>
    </row>
    <row r="214" spans="2:21">
      <c r="B214" s="20">
        <v>211</v>
      </c>
      <c r="C214" s="14" t="s">
        <v>123</v>
      </c>
      <c r="D214" s="14" t="s">
        <v>15</v>
      </c>
      <c r="E214" s="14">
        <v>4</v>
      </c>
      <c r="F214" s="14">
        <v>85</v>
      </c>
      <c r="G214" s="14">
        <v>80</v>
      </c>
      <c r="H214" s="14">
        <v>82</v>
      </c>
      <c r="I214" s="14">
        <v>84</v>
      </c>
      <c r="J214" s="14" t="s">
        <v>13</v>
      </c>
      <c r="K214" s="14">
        <v>7</v>
      </c>
      <c r="L214" s="14">
        <v>3</v>
      </c>
      <c r="M214" s="15">
        <f t="shared" si="27"/>
        <v>246</v>
      </c>
      <c r="N214" s="15">
        <f t="shared" si="28"/>
        <v>82</v>
      </c>
      <c r="O214" s="14" t="str">
        <f t="shared" si="29"/>
        <v>Excellent</v>
      </c>
      <c r="P214" s="15">
        <f t="shared" si="30"/>
        <v>20.5</v>
      </c>
      <c r="Q214" s="14" t="str">
        <f t="shared" si="31"/>
        <v>No</v>
      </c>
      <c r="R214" s="14" t="str">
        <f t="shared" si="32"/>
        <v>Normal Students</v>
      </c>
      <c r="S214" s="14" t="str">
        <f t="shared" si="33"/>
        <v>Balanced Student</v>
      </c>
      <c r="T214" s="14" t="str">
        <f t="shared" si="34"/>
        <v>High</v>
      </c>
      <c r="U214" s="21" t="str">
        <f t="shared" si="35"/>
        <v>A</v>
      </c>
    </row>
    <row r="215" spans="2:21">
      <c r="B215" s="20">
        <v>212</v>
      </c>
      <c r="C215" s="14" t="s">
        <v>124</v>
      </c>
      <c r="D215" s="14" t="s">
        <v>12</v>
      </c>
      <c r="E215" s="14">
        <v>6</v>
      </c>
      <c r="F215" s="14">
        <v>94</v>
      </c>
      <c r="G215" s="14">
        <v>91</v>
      </c>
      <c r="H215" s="14">
        <v>90</v>
      </c>
      <c r="I215" s="14">
        <v>92</v>
      </c>
      <c r="J215" s="14" t="s">
        <v>16</v>
      </c>
      <c r="K215" s="14">
        <v>6</v>
      </c>
      <c r="L215" s="14">
        <v>2</v>
      </c>
      <c r="M215" s="15">
        <f t="shared" si="27"/>
        <v>273</v>
      </c>
      <c r="N215" s="15">
        <f t="shared" si="28"/>
        <v>91</v>
      </c>
      <c r="O215" s="14" t="str">
        <f t="shared" si="29"/>
        <v>Excellent</v>
      </c>
      <c r="P215" s="15">
        <f t="shared" si="30"/>
        <v>15.166666666666666</v>
      </c>
      <c r="Q215" s="14" t="str">
        <f t="shared" si="31"/>
        <v>No</v>
      </c>
      <c r="R215" s="14" t="str">
        <f t="shared" si="32"/>
        <v>Normal Students</v>
      </c>
      <c r="S215" s="14" t="str">
        <f t="shared" si="33"/>
        <v>Balanced Student</v>
      </c>
      <c r="T215" s="14" t="str">
        <f t="shared" si="34"/>
        <v>High</v>
      </c>
      <c r="U215" s="21" t="str">
        <f t="shared" si="35"/>
        <v>A</v>
      </c>
    </row>
    <row r="216" spans="2:21">
      <c r="B216" s="20">
        <v>213</v>
      </c>
      <c r="C216" s="14" t="s">
        <v>54</v>
      </c>
      <c r="D216" s="14" t="s">
        <v>15</v>
      </c>
      <c r="E216" s="14">
        <v>3</v>
      </c>
      <c r="F216" s="14">
        <v>79</v>
      </c>
      <c r="G216" s="14">
        <v>74</v>
      </c>
      <c r="H216" s="14">
        <v>72</v>
      </c>
      <c r="I216" s="14">
        <v>76</v>
      </c>
      <c r="J216" s="14" t="s">
        <v>13</v>
      </c>
      <c r="K216" s="14">
        <v>7</v>
      </c>
      <c r="L216" s="14">
        <v>4</v>
      </c>
      <c r="M216" s="15">
        <f t="shared" si="27"/>
        <v>222</v>
      </c>
      <c r="N216" s="15">
        <f t="shared" si="28"/>
        <v>74</v>
      </c>
      <c r="O216" s="14" t="str">
        <f t="shared" si="29"/>
        <v>Good</v>
      </c>
      <c r="P216" s="15">
        <f t="shared" si="30"/>
        <v>24.666666666666668</v>
      </c>
      <c r="Q216" s="14" t="str">
        <f t="shared" si="31"/>
        <v>No</v>
      </c>
      <c r="R216" s="14" t="str">
        <f t="shared" si="32"/>
        <v>Normal Students</v>
      </c>
      <c r="S216" s="14" t="str">
        <f t="shared" si="33"/>
        <v>Unbalanced Student</v>
      </c>
      <c r="T216" s="14" t="str">
        <f t="shared" si="34"/>
        <v>Medium</v>
      </c>
      <c r="U216" s="21" t="str">
        <f t="shared" si="35"/>
        <v>B</v>
      </c>
    </row>
    <row r="217" spans="2:21">
      <c r="B217" s="20">
        <v>214</v>
      </c>
      <c r="C217" s="14" t="s">
        <v>125</v>
      </c>
      <c r="D217" s="14" t="s">
        <v>12</v>
      </c>
      <c r="E217" s="14">
        <v>2</v>
      </c>
      <c r="F217" s="14">
        <v>72</v>
      </c>
      <c r="G217" s="14">
        <v>65</v>
      </c>
      <c r="H217" s="14">
        <v>64</v>
      </c>
      <c r="I217" s="14">
        <v>68</v>
      </c>
      <c r="J217" s="14" t="s">
        <v>16</v>
      </c>
      <c r="K217" s="14">
        <v>8</v>
      </c>
      <c r="L217" s="14">
        <v>5</v>
      </c>
      <c r="M217" s="15">
        <f t="shared" si="27"/>
        <v>197</v>
      </c>
      <c r="N217" s="15">
        <f t="shared" si="28"/>
        <v>65.666666666666671</v>
      </c>
      <c r="O217" s="14" t="str">
        <f t="shared" si="29"/>
        <v>Good</v>
      </c>
      <c r="P217" s="15">
        <f t="shared" si="30"/>
        <v>32.833333333333336</v>
      </c>
      <c r="Q217" s="14" t="str">
        <f t="shared" si="31"/>
        <v>No</v>
      </c>
      <c r="R217" s="14" t="str">
        <f t="shared" si="32"/>
        <v>Normal Students</v>
      </c>
      <c r="S217" s="14" t="str">
        <f t="shared" si="33"/>
        <v>Unbalanced Student</v>
      </c>
      <c r="T217" s="14" t="str">
        <f t="shared" si="34"/>
        <v>Medium</v>
      </c>
      <c r="U217" s="21" t="str">
        <f t="shared" si="35"/>
        <v>C</v>
      </c>
    </row>
    <row r="218" spans="2:21">
      <c r="B218" s="20">
        <v>215</v>
      </c>
      <c r="C218" s="14" t="s">
        <v>126</v>
      </c>
      <c r="D218" s="14" t="s">
        <v>12</v>
      </c>
      <c r="E218" s="14">
        <v>5</v>
      </c>
      <c r="F218" s="14">
        <v>90</v>
      </c>
      <c r="G218" s="14">
        <v>86</v>
      </c>
      <c r="H218" s="14">
        <v>88</v>
      </c>
      <c r="I218" s="14">
        <v>89</v>
      </c>
      <c r="J218" s="14" t="s">
        <v>13</v>
      </c>
      <c r="K218" s="14">
        <v>6</v>
      </c>
      <c r="L218" s="14">
        <v>2</v>
      </c>
      <c r="M218" s="15">
        <f t="shared" si="27"/>
        <v>263</v>
      </c>
      <c r="N218" s="15">
        <f t="shared" si="28"/>
        <v>87.666666666666671</v>
      </c>
      <c r="O218" s="14" t="str">
        <f t="shared" si="29"/>
        <v>Excellent</v>
      </c>
      <c r="P218" s="15">
        <f t="shared" si="30"/>
        <v>17.533333333333335</v>
      </c>
      <c r="Q218" s="14" t="str">
        <f t="shared" si="31"/>
        <v>No</v>
      </c>
      <c r="R218" s="14" t="str">
        <f t="shared" si="32"/>
        <v>Normal Students</v>
      </c>
      <c r="S218" s="14" t="str">
        <f t="shared" si="33"/>
        <v>Balanced Student</v>
      </c>
      <c r="T218" s="14" t="str">
        <f t="shared" si="34"/>
        <v>High</v>
      </c>
      <c r="U218" s="21" t="str">
        <f t="shared" si="35"/>
        <v>A</v>
      </c>
    </row>
    <row r="219" spans="2:21">
      <c r="B219" s="20">
        <v>216</v>
      </c>
      <c r="C219" s="14" t="s">
        <v>127</v>
      </c>
      <c r="D219" s="14" t="s">
        <v>15</v>
      </c>
      <c r="E219" s="14">
        <v>4</v>
      </c>
      <c r="F219" s="14">
        <v>87</v>
      </c>
      <c r="G219" s="14">
        <v>83</v>
      </c>
      <c r="H219" s="14">
        <v>81</v>
      </c>
      <c r="I219" s="14">
        <v>85</v>
      </c>
      <c r="J219" s="14" t="s">
        <v>13</v>
      </c>
      <c r="K219" s="14">
        <v>6</v>
      </c>
      <c r="L219" s="14">
        <v>3</v>
      </c>
      <c r="M219" s="15">
        <f t="shared" si="27"/>
        <v>249</v>
      </c>
      <c r="N219" s="15">
        <f t="shared" si="28"/>
        <v>83</v>
      </c>
      <c r="O219" s="14" t="str">
        <f t="shared" si="29"/>
        <v>Excellent</v>
      </c>
      <c r="P219" s="15">
        <f t="shared" si="30"/>
        <v>20.75</v>
      </c>
      <c r="Q219" s="14" t="str">
        <f t="shared" si="31"/>
        <v>No</v>
      </c>
      <c r="R219" s="14" t="str">
        <f t="shared" si="32"/>
        <v>Normal Students</v>
      </c>
      <c r="S219" s="14" t="str">
        <f t="shared" si="33"/>
        <v>Balanced Student</v>
      </c>
      <c r="T219" s="14" t="str">
        <f t="shared" si="34"/>
        <v>High</v>
      </c>
      <c r="U219" s="21" t="str">
        <f t="shared" si="35"/>
        <v>A</v>
      </c>
    </row>
    <row r="220" spans="2:21">
      <c r="B220" s="20">
        <v>217</v>
      </c>
      <c r="C220" s="14" t="s">
        <v>128</v>
      </c>
      <c r="D220" s="14" t="s">
        <v>12</v>
      </c>
      <c r="E220" s="14">
        <v>3</v>
      </c>
      <c r="F220" s="14">
        <v>80</v>
      </c>
      <c r="G220" s="14">
        <v>75</v>
      </c>
      <c r="H220" s="14">
        <v>73</v>
      </c>
      <c r="I220" s="14">
        <v>78</v>
      </c>
      <c r="J220" s="14" t="s">
        <v>16</v>
      </c>
      <c r="K220" s="14">
        <v>7</v>
      </c>
      <c r="L220" s="14">
        <v>4</v>
      </c>
      <c r="M220" s="15">
        <f t="shared" si="27"/>
        <v>226</v>
      </c>
      <c r="N220" s="15">
        <f t="shared" si="28"/>
        <v>75.333333333333329</v>
      </c>
      <c r="O220" s="14" t="str">
        <f t="shared" si="29"/>
        <v>Good</v>
      </c>
      <c r="P220" s="15">
        <f t="shared" si="30"/>
        <v>25.111111111111111</v>
      </c>
      <c r="Q220" s="14" t="str">
        <f t="shared" si="31"/>
        <v>No</v>
      </c>
      <c r="R220" s="14" t="str">
        <f t="shared" si="32"/>
        <v>Normal Students</v>
      </c>
      <c r="S220" s="14" t="str">
        <f t="shared" si="33"/>
        <v>Unbalanced Student</v>
      </c>
      <c r="T220" s="14" t="str">
        <f t="shared" si="34"/>
        <v>High</v>
      </c>
      <c r="U220" s="21" t="str">
        <f t="shared" si="35"/>
        <v>B</v>
      </c>
    </row>
    <row r="221" spans="2:21">
      <c r="B221" s="20">
        <v>218</v>
      </c>
      <c r="C221" s="14" t="s">
        <v>129</v>
      </c>
      <c r="D221" s="14" t="s">
        <v>15</v>
      </c>
      <c r="E221" s="14">
        <v>5</v>
      </c>
      <c r="F221" s="14">
        <v>91</v>
      </c>
      <c r="G221" s="14">
        <v>87</v>
      </c>
      <c r="H221" s="14">
        <v>88</v>
      </c>
      <c r="I221" s="14">
        <v>90</v>
      </c>
      <c r="J221" s="14" t="s">
        <v>13</v>
      </c>
      <c r="K221" s="14">
        <v>6</v>
      </c>
      <c r="L221" s="14">
        <v>2</v>
      </c>
      <c r="M221" s="15">
        <f t="shared" si="27"/>
        <v>265</v>
      </c>
      <c r="N221" s="15">
        <f t="shared" si="28"/>
        <v>88.333333333333329</v>
      </c>
      <c r="O221" s="14" t="str">
        <f t="shared" si="29"/>
        <v>Excellent</v>
      </c>
      <c r="P221" s="15">
        <f t="shared" si="30"/>
        <v>17.666666666666664</v>
      </c>
      <c r="Q221" s="14" t="str">
        <f t="shared" si="31"/>
        <v>No</v>
      </c>
      <c r="R221" s="14" t="str">
        <f t="shared" si="32"/>
        <v>Normal Students</v>
      </c>
      <c r="S221" s="14" t="str">
        <f t="shared" si="33"/>
        <v>Balanced Student</v>
      </c>
      <c r="T221" s="14" t="str">
        <f t="shared" si="34"/>
        <v>High</v>
      </c>
      <c r="U221" s="21" t="str">
        <f t="shared" si="35"/>
        <v>A</v>
      </c>
    </row>
    <row r="222" spans="2:21">
      <c r="B222" s="20">
        <v>219</v>
      </c>
      <c r="C222" s="14" t="s">
        <v>130</v>
      </c>
      <c r="D222" s="14" t="s">
        <v>12</v>
      </c>
      <c r="E222" s="14">
        <v>2</v>
      </c>
      <c r="F222" s="14">
        <v>68</v>
      </c>
      <c r="G222" s="14">
        <v>60</v>
      </c>
      <c r="H222" s="14">
        <v>58</v>
      </c>
      <c r="I222" s="14">
        <v>64</v>
      </c>
      <c r="J222" s="14" t="s">
        <v>16</v>
      </c>
      <c r="K222" s="14">
        <v>8</v>
      </c>
      <c r="L222" s="14">
        <v>5</v>
      </c>
      <c r="M222" s="15">
        <f t="shared" si="27"/>
        <v>182</v>
      </c>
      <c r="N222" s="15">
        <f t="shared" si="28"/>
        <v>60.666666666666664</v>
      </c>
      <c r="O222" s="14" t="str">
        <f t="shared" si="29"/>
        <v>Good</v>
      </c>
      <c r="P222" s="15">
        <f t="shared" si="30"/>
        <v>30.333333333333332</v>
      </c>
      <c r="Q222" s="14" t="str">
        <f t="shared" si="31"/>
        <v>No</v>
      </c>
      <c r="R222" s="14" t="str">
        <f t="shared" si="32"/>
        <v>Normal Students</v>
      </c>
      <c r="S222" s="14" t="str">
        <f t="shared" si="33"/>
        <v>Unbalanced Student</v>
      </c>
      <c r="T222" s="14" t="str">
        <f t="shared" si="34"/>
        <v>Medium</v>
      </c>
      <c r="U222" s="21" t="str">
        <f t="shared" si="35"/>
        <v>C</v>
      </c>
    </row>
    <row r="223" spans="2:21">
      <c r="B223" s="20">
        <v>220</v>
      </c>
      <c r="C223" s="14" t="s">
        <v>131</v>
      </c>
      <c r="D223" s="14" t="s">
        <v>15</v>
      </c>
      <c r="E223" s="14">
        <v>4</v>
      </c>
      <c r="F223" s="14">
        <v>85</v>
      </c>
      <c r="G223" s="14">
        <v>81</v>
      </c>
      <c r="H223" s="14">
        <v>82</v>
      </c>
      <c r="I223" s="14">
        <v>84</v>
      </c>
      <c r="J223" s="14" t="s">
        <v>13</v>
      </c>
      <c r="K223" s="14">
        <v>7</v>
      </c>
      <c r="L223" s="14">
        <v>3</v>
      </c>
      <c r="M223" s="15">
        <f t="shared" si="27"/>
        <v>247</v>
      </c>
      <c r="N223" s="15">
        <f t="shared" si="28"/>
        <v>82.333333333333329</v>
      </c>
      <c r="O223" s="14" t="str">
        <f t="shared" si="29"/>
        <v>Excellent</v>
      </c>
      <c r="P223" s="15">
        <f t="shared" si="30"/>
        <v>20.583333333333332</v>
      </c>
      <c r="Q223" s="14" t="str">
        <f t="shared" si="31"/>
        <v>No</v>
      </c>
      <c r="R223" s="14" t="str">
        <f t="shared" si="32"/>
        <v>Normal Students</v>
      </c>
      <c r="S223" s="14" t="str">
        <f t="shared" si="33"/>
        <v>Balanced Student</v>
      </c>
      <c r="T223" s="14" t="str">
        <f t="shared" si="34"/>
        <v>High</v>
      </c>
      <c r="U223" s="21" t="str">
        <f t="shared" si="35"/>
        <v>A</v>
      </c>
    </row>
    <row r="224" spans="2:21">
      <c r="B224" s="20">
        <v>221</v>
      </c>
      <c r="C224" s="14" t="s">
        <v>132</v>
      </c>
      <c r="D224" s="14" t="s">
        <v>12</v>
      </c>
      <c r="E224" s="14">
        <v>6</v>
      </c>
      <c r="F224" s="14">
        <v>94</v>
      </c>
      <c r="G224" s="14">
        <v>92</v>
      </c>
      <c r="H224" s="14">
        <v>91</v>
      </c>
      <c r="I224" s="14">
        <v>95</v>
      </c>
      <c r="J224" s="14" t="s">
        <v>16</v>
      </c>
      <c r="K224" s="14">
        <v>6</v>
      </c>
      <c r="L224" s="14">
        <v>2</v>
      </c>
      <c r="M224" s="15">
        <f t="shared" si="27"/>
        <v>278</v>
      </c>
      <c r="N224" s="15">
        <f t="shared" si="28"/>
        <v>92.666666666666671</v>
      </c>
      <c r="O224" s="14" t="str">
        <f t="shared" si="29"/>
        <v>Excellent</v>
      </c>
      <c r="P224" s="15">
        <f t="shared" si="30"/>
        <v>15.444444444444445</v>
      </c>
      <c r="Q224" s="14" t="str">
        <f t="shared" si="31"/>
        <v>No</v>
      </c>
      <c r="R224" s="14" t="str">
        <f t="shared" si="32"/>
        <v>Normal Students</v>
      </c>
      <c r="S224" s="14" t="str">
        <f t="shared" si="33"/>
        <v>Balanced Student</v>
      </c>
      <c r="T224" s="14" t="str">
        <f t="shared" si="34"/>
        <v>High</v>
      </c>
      <c r="U224" s="21" t="str">
        <f t="shared" si="35"/>
        <v>A</v>
      </c>
    </row>
    <row r="225" spans="2:21">
      <c r="B225" s="20">
        <v>222</v>
      </c>
      <c r="C225" s="14" t="s">
        <v>133</v>
      </c>
      <c r="D225" s="14" t="s">
        <v>15</v>
      </c>
      <c r="E225" s="14">
        <v>3</v>
      </c>
      <c r="F225" s="14">
        <v>78</v>
      </c>
      <c r="G225" s="14">
        <v>72</v>
      </c>
      <c r="H225" s="14">
        <v>70</v>
      </c>
      <c r="I225" s="14">
        <v>75</v>
      </c>
      <c r="J225" s="14" t="s">
        <v>13</v>
      </c>
      <c r="K225" s="14">
        <v>7</v>
      </c>
      <c r="L225" s="14">
        <v>4</v>
      </c>
      <c r="M225" s="15">
        <f t="shared" si="27"/>
        <v>217</v>
      </c>
      <c r="N225" s="15">
        <f t="shared" si="28"/>
        <v>72.333333333333329</v>
      </c>
      <c r="O225" s="14" t="str">
        <f t="shared" si="29"/>
        <v>Good</v>
      </c>
      <c r="P225" s="15">
        <f t="shared" si="30"/>
        <v>24.111111111111111</v>
      </c>
      <c r="Q225" s="14" t="str">
        <f t="shared" si="31"/>
        <v>No</v>
      </c>
      <c r="R225" s="14" t="str">
        <f t="shared" si="32"/>
        <v>Normal Students</v>
      </c>
      <c r="S225" s="14" t="str">
        <f t="shared" si="33"/>
        <v>Unbalanced Student</v>
      </c>
      <c r="T225" s="14" t="str">
        <f t="shared" si="34"/>
        <v>Medium</v>
      </c>
      <c r="U225" s="21" t="str">
        <f t="shared" si="35"/>
        <v>B</v>
      </c>
    </row>
    <row r="226" spans="2:21">
      <c r="B226" s="20">
        <v>223</v>
      </c>
      <c r="C226" s="14" t="s">
        <v>134</v>
      </c>
      <c r="D226" s="14" t="s">
        <v>12</v>
      </c>
      <c r="E226" s="14">
        <v>4</v>
      </c>
      <c r="F226" s="14">
        <v>85</v>
      </c>
      <c r="G226" s="14">
        <v>80</v>
      </c>
      <c r="H226" s="14">
        <v>82</v>
      </c>
      <c r="I226" s="14">
        <v>84</v>
      </c>
      <c r="J226" s="14" t="s">
        <v>13</v>
      </c>
      <c r="K226" s="14">
        <v>7</v>
      </c>
      <c r="L226" s="14">
        <v>3</v>
      </c>
      <c r="M226" s="15">
        <f t="shared" si="27"/>
        <v>246</v>
      </c>
      <c r="N226" s="15">
        <f t="shared" si="28"/>
        <v>82</v>
      </c>
      <c r="O226" s="14" t="str">
        <f t="shared" si="29"/>
        <v>Excellent</v>
      </c>
      <c r="P226" s="15">
        <f t="shared" si="30"/>
        <v>20.5</v>
      </c>
      <c r="Q226" s="14" t="str">
        <f t="shared" si="31"/>
        <v>No</v>
      </c>
      <c r="R226" s="14" t="str">
        <f t="shared" si="32"/>
        <v>Normal Students</v>
      </c>
      <c r="S226" s="14" t="str">
        <f t="shared" si="33"/>
        <v>Balanced Student</v>
      </c>
      <c r="T226" s="14" t="str">
        <f t="shared" si="34"/>
        <v>High</v>
      </c>
      <c r="U226" s="21" t="str">
        <f t="shared" si="35"/>
        <v>A</v>
      </c>
    </row>
    <row r="227" spans="2:21">
      <c r="B227" s="20">
        <v>224</v>
      </c>
      <c r="C227" s="14" t="s">
        <v>28</v>
      </c>
      <c r="D227" s="14" t="s">
        <v>15</v>
      </c>
      <c r="E227" s="14">
        <v>5</v>
      </c>
      <c r="F227" s="14">
        <v>90</v>
      </c>
      <c r="G227" s="14">
        <v>86</v>
      </c>
      <c r="H227" s="14">
        <v>88</v>
      </c>
      <c r="I227" s="14">
        <v>89</v>
      </c>
      <c r="J227" s="14" t="s">
        <v>13</v>
      </c>
      <c r="K227" s="14">
        <v>6</v>
      </c>
      <c r="L227" s="14">
        <v>2</v>
      </c>
      <c r="M227" s="15">
        <f t="shared" si="27"/>
        <v>263</v>
      </c>
      <c r="N227" s="15">
        <f t="shared" si="28"/>
        <v>87.666666666666671</v>
      </c>
      <c r="O227" s="14" t="str">
        <f t="shared" si="29"/>
        <v>Excellent</v>
      </c>
      <c r="P227" s="15">
        <f t="shared" si="30"/>
        <v>17.533333333333335</v>
      </c>
      <c r="Q227" s="14" t="str">
        <f t="shared" si="31"/>
        <v>No</v>
      </c>
      <c r="R227" s="14" t="str">
        <f t="shared" si="32"/>
        <v>Normal Students</v>
      </c>
      <c r="S227" s="14" t="str">
        <f t="shared" si="33"/>
        <v>Balanced Student</v>
      </c>
      <c r="T227" s="14" t="str">
        <f t="shared" si="34"/>
        <v>High</v>
      </c>
      <c r="U227" s="21" t="str">
        <f t="shared" si="35"/>
        <v>A</v>
      </c>
    </row>
    <row r="228" spans="2:21">
      <c r="B228" s="20">
        <v>225</v>
      </c>
      <c r="C228" s="14" t="s">
        <v>135</v>
      </c>
      <c r="D228" s="14" t="s">
        <v>12</v>
      </c>
      <c r="E228" s="14">
        <v>2</v>
      </c>
      <c r="F228" s="14">
        <v>70</v>
      </c>
      <c r="G228" s="14">
        <v>62</v>
      </c>
      <c r="H228" s="14">
        <v>60</v>
      </c>
      <c r="I228" s="14">
        <v>66</v>
      </c>
      <c r="J228" s="14" t="s">
        <v>16</v>
      </c>
      <c r="K228" s="14">
        <v>8</v>
      </c>
      <c r="L228" s="14">
        <v>5</v>
      </c>
      <c r="M228" s="15">
        <f t="shared" si="27"/>
        <v>188</v>
      </c>
      <c r="N228" s="15">
        <f t="shared" si="28"/>
        <v>62.666666666666664</v>
      </c>
      <c r="O228" s="14" t="str">
        <f t="shared" si="29"/>
        <v>Good</v>
      </c>
      <c r="P228" s="15">
        <f t="shared" si="30"/>
        <v>31.333333333333332</v>
      </c>
      <c r="Q228" s="14" t="str">
        <f t="shared" si="31"/>
        <v>No</v>
      </c>
      <c r="R228" s="14" t="str">
        <f t="shared" si="32"/>
        <v>Normal Students</v>
      </c>
      <c r="S228" s="14" t="str">
        <f t="shared" si="33"/>
        <v>Unbalanced Student</v>
      </c>
      <c r="T228" s="14" t="str">
        <f t="shared" si="34"/>
        <v>Medium</v>
      </c>
      <c r="U228" s="21" t="str">
        <f t="shared" si="35"/>
        <v>C</v>
      </c>
    </row>
    <row r="229" spans="2:21">
      <c r="B229" s="20">
        <v>226</v>
      </c>
      <c r="C229" s="14" t="s">
        <v>136</v>
      </c>
      <c r="D229" s="14" t="s">
        <v>15</v>
      </c>
      <c r="E229" s="14">
        <v>4</v>
      </c>
      <c r="F229" s="14">
        <v>88</v>
      </c>
      <c r="G229" s="14">
        <v>84</v>
      </c>
      <c r="H229" s="14">
        <v>83</v>
      </c>
      <c r="I229" s="14">
        <v>86</v>
      </c>
      <c r="J229" s="14" t="s">
        <v>13</v>
      </c>
      <c r="K229" s="14">
        <v>7</v>
      </c>
      <c r="L229" s="14">
        <v>3</v>
      </c>
      <c r="M229" s="15">
        <f t="shared" si="27"/>
        <v>253</v>
      </c>
      <c r="N229" s="15">
        <f t="shared" si="28"/>
        <v>84.333333333333329</v>
      </c>
      <c r="O229" s="14" t="str">
        <f t="shared" si="29"/>
        <v>Excellent</v>
      </c>
      <c r="P229" s="15">
        <f t="shared" si="30"/>
        <v>21.083333333333332</v>
      </c>
      <c r="Q229" s="14" t="str">
        <f t="shared" si="31"/>
        <v>No</v>
      </c>
      <c r="R229" s="14" t="str">
        <f t="shared" si="32"/>
        <v>Normal Students</v>
      </c>
      <c r="S229" s="14" t="str">
        <f t="shared" si="33"/>
        <v>Balanced Student</v>
      </c>
      <c r="T229" s="14" t="str">
        <f t="shared" si="34"/>
        <v>High</v>
      </c>
      <c r="U229" s="21" t="str">
        <f t="shared" si="35"/>
        <v>A</v>
      </c>
    </row>
    <row r="230" spans="2:21">
      <c r="B230" s="20">
        <v>227</v>
      </c>
      <c r="C230" s="14" t="s">
        <v>137</v>
      </c>
      <c r="D230" s="14" t="s">
        <v>12</v>
      </c>
      <c r="E230" s="14">
        <v>3</v>
      </c>
      <c r="F230" s="14">
        <v>82</v>
      </c>
      <c r="G230" s="14">
        <v>76</v>
      </c>
      <c r="H230" s="14">
        <v>75</v>
      </c>
      <c r="I230" s="14">
        <v>80</v>
      </c>
      <c r="J230" s="14" t="s">
        <v>16</v>
      </c>
      <c r="K230" s="14">
        <v>7</v>
      </c>
      <c r="L230" s="14">
        <v>4</v>
      </c>
      <c r="M230" s="15">
        <f t="shared" si="27"/>
        <v>231</v>
      </c>
      <c r="N230" s="15">
        <f t="shared" si="28"/>
        <v>77</v>
      </c>
      <c r="O230" s="14" t="str">
        <f t="shared" si="29"/>
        <v>Good</v>
      </c>
      <c r="P230" s="15">
        <f t="shared" si="30"/>
        <v>25.666666666666668</v>
      </c>
      <c r="Q230" s="14" t="str">
        <f t="shared" si="31"/>
        <v>No</v>
      </c>
      <c r="R230" s="14" t="str">
        <f t="shared" si="32"/>
        <v>Normal Students</v>
      </c>
      <c r="S230" s="14" t="str">
        <f t="shared" si="33"/>
        <v>Unbalanced Student</v>
      </c>
      <c r="T230" s="14" t="str">
        <f t="shared" si="34"/>
        <v>High</v>
      </c>
      <c r="U230" s="21" t="str">
        <f t="shared" si="35"/>
        <v>B</v>
      </c>
    </row>
    <row r="231" spans="2:21">
      <c r="B231" s="20">
        <v>228</v>
      </c>
      <c r="C231" s="14" t="s">
        <v>138</v>
      </c>
      <c r="D231" s="14" t="s">
        <v>15</v>
      </c>
      <c r="E231" s="14">
        <v>5</v>
      </c>
      <c r="F231" s="14">
        <v>91</v>
      </c>
      <c r="G231" s="14">
        <v>87</v>
      </c>
      <c r="H231" s="14">
        <v>88</v>
      </c>
      <c r="I231" s="14">
        <v>90</v>
      </c>
      <c r="J231" s="14" t="s">
        <v>13</v>
      </c>
      <c r="K231" s="14">
        <v>6</v>
      </c>
      <c r="L231" s="14">
        <v>2</v>
      </c>
      <c r="M231" s="15">
        <f t="shared" si="27"/>
        <v>265</v>
      </c>
      <c r="N231" s="15">
        <f t="shared" si="28"/>
        <v>88.333333333333329</v>
      </c>
      <c r="O231" s="14" t="str">
        <f t="shared" si="29"/>
        <v>Excellent</v>
      </c>
      <c r="P231" s="15">
        <f t="shared" si="30"/>
        <v>17.666666666666664</v>
      </c>
      <c r="Q231" s="14" t="str">
        <f t="shared" si="31"/>
        <v>No</v>
      </c>
      <c r="R231" s="14" t="str">
        <f t="shared" si="32"/>
        <v>Normal Students</v>
      </c>
      <c r="S231" s="14" t="str">
        <f t="shared" si="33"/>
        <v>Balanced Student</v>
      </c>
      <c r="T231" s="14" t="str">
        <f t="shared" si="34"/>
        <v>High</v>
      </c>
      <c r="U231" s="21" t="str">
        <f t="shared" si="35"/>
        <v>A</v>
      </c>
    </row>
    <row r="232" spans="2:21">
      <c r="B232" s="20">
        <v>229</v>
      </c>
      <c r="C232" s="14" t="s">
        <v>139</v>
      </c>
      <c r="D232" s="14" t="s">
        <v>12</v>
      </c>
      <c r="E232" s="14">
        <v>2</v>
      </c>
      <c r="F232" s="14">
        <v>68</v>
      </c>
      <c r="G232" s="14">
        <v>60</v>
      </c>
      <c r="H232" s="14">
        <v>58</v>
      </c>
      <c r="I232" s="14">
        <v>64</v>
      </c>
      <c r="J232" s="14" t="s">
        <v>16</v>
      </c>
      <c r="K232" s="14">
        <v>8</v>
      </c>
      <c r="L232" s="14">
        <v>5</v>
      </c>
      <c r="M232" s="15">
        <f t="shared" si="27"/>
        <v>182</v>
      </c>
      <c r="N232" s="15">
        <f t="shared" si="28"/>
        <v>60.666666666666664</v>
      </c>
      <c r="O232" s="14" t="str">
        <f t="shared" si="29"/>
        <v>Good</v>
      </c>
      <c r="P232" s="15">
        <f t="shared" si="30"/>
        <v>30.333333333333332</v>
      </c>
      <c r="Q232" s="14" t="str">
        <f t="shared" si="31"/>
        <v>No</v>
      </c>
      <c r="R232" s="14" t="str">
        <f t="shared" si="32"/>
        <v>Normal Students</v>
      </c>
      <c r="S232" s="14" t="str">
        <f t="shared" si="33"/>
        <v>Unbalanced Student</v>
      </c>
      <c r="T232" s="14" t="str">
        <f t="shared" si="34"/>
        <v>Medium</v>
      </c>
      <c r="U232" s="21" t="str">
        <f t="shared" si="35"/>
        <v>C</v>
      </c>
    </row>
    <row r="233" spans="2:21">
      <c r="B233" s="20">
        <v>230</v>
      </c>
      <c r="C233" s="14" t="s">
        <v>140</v>
      </c>
      <c r="D233" s="14" t="s">
        <v>15</v>
      </c>
      <c r="E233" s="14">
        <v>4</v>
      </c>
      <c r="F233" s="14">
        <v>85</v>
      </c>
      <c r="G233" s="14">
        <v>81</v>
      </c>
      <c r="H233" s="14">
        <v>82</v>
      </c>
      <c r="I233" s="14">
        <v>84</v>
      </c>
      <c r="J233" s="14" t="s">
        <v>13</v>
      </c>
      <c r="K233" s="14">
        <v>7</v>
      </c>
      <c r="L233" s="14">
        <v>3</v>
      </c>
      <c r="M233" s="15">
        <f t="shared" si="27"/>
        <v>247</v>
      </c>
      <c r="N233" s="15">
        <f t="shared" si="28"/>
        <v>82.333333333333329</v>
      </c>
      <c r="O233" s="14" t="str">
        <f t="shared" si="29"/>
        <v>Excellent</v>
      </c>
      <c r="P233" s="15">
        <f t="shared" si="30"/>
        <v>20.583333333333332</v>
      </c>
      <c r="Q233" s="14" t="str">
        <f t="shared" si="31"/>
        <v>No</v>
      </c>
      <c r="R233" s="14" t="str">
        <f t="shared" si="32"/>
        <v>Normal Students</v>
      </c>
      <c r="S233" s="14" t="str">
        <f t="shared" si="33"/>
        <v>Balanced Student</v>
      </c>
      <c r="T233" s="14" t="str">
        <f t="shared" si="34"/>
        <v>High</v>
      </c>
      <c r="U233" s="21" t="str">
        <f t="shared" si="35"/>
        <v>A</v>
      </c>
    </row>
    <row r="234" spans="2:21">
      <c r="B234" s="20">
        <v>231</v>
      </c>
      <c r="C234" s="14" t="s">
        <v>141</v>
      </c>
      <c r="D234" s="14" t="s">
        <v>12</v>
      </c>
      <c r="E234" s="14">
        <v>6</v>
      </c>
      <c r="F234" s="14">
        <v>94</v>
      </c>
      <c r="G234" s="14">
        <v>91</v>
      </c>
      <c r="H234" s="14">
        <v>90</v>
      </c>
      <c r="I234" s="14">
        <v>92</v>
      </c>
      <c r="J234" s="14" t="s">
        <v>16</v>
      </c>
      <c r="K234" s="14">
        <v>6</v>
      </c>
      <c r="L234" s="14">
        <v>2</v>
      </c>
      <c r="M234" s="15">
        <f t="shared" si="27"/>
        <v>273</v>
      </c>
      <c r="N234" s="15">
        <f t="shared" si="28"/>
        <v>91</v>
      </c>
      <c r="O234" s="14" t="str">
        <f t="shared" si="29"/>
        <v>Excellent</v>
      </c>
      <c r="P234" s="15">
        <f t="shared" si="30"/>
        <v>15.166666666666666</v>
      </c>
      <c r="Q234" s="14" t="str">
        <f t="shared" si="31"/>
        <v>No</v>
      </c>
      <c r="R234" s="14" t="str">
        <f t="shared" si="32"/>
        <v>Normal Students</v>
      </c>
      <c r="S234" s="14" t="str">
        <f t="shared" si="33"/>
        <v>Balanced Student</v>
      </c>
      <c r="T234" s="14" t="str">
        <f t="shared" si="34"/>
        <v>High</v>
      </c>
      <c r="U234" s="21" t="str">
        <f t="shared" si="35"/>
        <v>A</v>
      </c>
    </row>
    <row r="235" spans="2:21">
      <c r="B235" s="20">
        <v>232</v>
      </c>
      <c r="C235" s="14" t="s">
        <v>142</v>
      </c>
      <c r="D235" s="14" t="s">
        <v>15</v>
      </c>
      <c r="E235" s="14">
        <v>3</v>
      </c>
      <c r="F235" s="14">
        <v>79</v>
      </c>
      <c r="G235" s="14">
        <v>74</v>
      </c>
      <c r="H235" s="14">
        <v>72</v>
      </c>
      <c r="I235" s="14">
        <v>77</v>
      </c>
      <c r="J235" s="14" t="s">
        <v>13</v>
      </c>
      <c r="K235" s="14">
        <v>7</v>
      </c>
      <c r="L235" s="14">
        <v>4</v>
      </c>
      <c r="M235" s="15">
        <f t="shared" si="27"/>
        <v>223</v>
      </c>
      <c r="N235" s="15">
        <f t="shared" si="28"/>
        <v>74.333333333333329</v>
      </c>
      <c r="O235" s="14" t="str">
        <f t="shared" si="29"/>
        <v>Good</v>
      </c>
      <c r="P235" s="15">
        <f t="shared" si="30"/>
        <v>24.777777777777775</v>
      </c>
      <c r="Q235" s="14" t="str">
        <f t="shared" si="31"/>
        <v>No</v>
      </c>
      <c r="R235" s="14" t="str">
        <f t="shared" si="32"/>
        <v>Normal Students</v>
      </c>
      <c r="S235" s="14" t="str">
        <f t="shared" si="33"/>
        <v>Unbalanced Student</v>
      </c>
      <c r="T235" s="14" t="str">
        <f t="shared" si="34"/>
        <v>Medium</v>
      </c>
      <c r="U235" s="21" t="str">
        <f t="shared" si="35"/>
        <v>B</v>
      </c>
    </row>
    <row r="236" spans="2:21">
      <c r="B236" s="20">
        <v>233</v>
      </c>
      <c r="C236" s="14" t="s">
        <v>143</v>
      </c>
      <c r="D236" s="14" t="s">
        <v>15</v>
      </c>
      <c r="E236" s="14">
        <v>5</v>
      </c>
      <c r="F236" s="14">
        <v>90</v>
      </c>
      <c r="G236" s="14">
        <v>86</v>
      </c>
      <c r="H236" s="14">
        <v>88</v>
      </c>
      <c r="I236" s="14">
        <v>89</v>
      </c>
      <c r="J236" s="14" t="s">
        <v>13</v>
      </c>
      <c r="K236" s="14">
        <v>6</v>
      </c>
      <c r="L236" s="14">
        <v>2</v>
      </c>
      <c r="M236" s="15">
        <f t="shared" si="27"/>
        <v>263</v>
      </c>
      <c r="N236" s="15">
        <f t="shared" si="28"/>
        <v>87.666666666666671</v>
      </c>
      <c r="O236" s="14" t="str">
        <f t="shared" si="29"/>
        <v>Excellent</v>
      </c>
      <c r="P236" s="15">
        <f t="shared" si="30"/>
        <v>17.533333333333335</v>
      </c>
      <c r="Q236" s="14" t="str">
        <f t="shared" si="31"/>
        <v>No</v>
      </c>
      <c r="R236" s="14" t="str">
        <f t="shared" si="32"/>
        <v>Normal Students</v>
      </c>
      <c r="S236" s="14" t="str">
        <f t="shared" si="33"/>
        <v>Balanced Student</v>
      </c>
      <c r="T236" s="14" t="str">
        <f t="shared" si="34"/>
        <v>High</v>
      </c>
      <c r="U236" s="21" t="str">
        <f t="shared" si="35"/>
        <v>A</v>
      </c>
    </row>
    <row r="237" spans="2:21">
      <c r="B237" s="20">
        <v>234</v>
      </c>
      <c r="C237" s="14" t="s">
        <v>33</v>
      </c>
      <c r="D237" s="14" t="s">
        <v>12</v>
      </c>
      <c r="E237" s="14">
        <v>3</v>
      </c>
      <c r="F237" s="14">
        <v>80</v>
      </c>
      <c r="G237" s="14">
        <v>75</v>
      </c>
      <c r="H237" s="14">
        <v>73</v>
      </c>
      <c r="I237" s="14">
        <v>78</v>
      </c>
      <c r="J237" s="14" t="s">
        <v>16</v>
      </c>
      <c r="K237" s="14">
        <v>7</v>
      </c>
      <c r="L237" s="14">
        <v>4</v>
      </c>
      <c r="M237" s="15">
        <f t="shared" si="27"/>
        <v>226</v>
      </c>
      <c r="N237" s="15">
        <f t="shared" si="28"/>
        <v>75.333333333333329</v>
      </c>
      <c r="O237" s="14" t="str">
        <f t="shared" si="29"/>
        <v>Good</v>
      </c>
      <c r="P237" s="15">
        <f t="shared" si="30"/>
        <v>25.111111111111111</v>
      </c>
      <c r="Q237" s="14" t="str">
        <f t="shared" si="31"/>
        <v>No</v>
      </c>
      <c r="R237" s="14" t="str">
        <f t="shared" si="32"/>
        <v>Normal Students</v>
      </c>
      <c r="S237" s="14" t="str">
        <f t="shared" si="33"/>
        <v>Unbalanced Student</v>
      </c>
      <c r="T237" s="14" t="str">
        <f t="shared" si="34"/>
        <v>High</v>
      </c>
      <c r="U237" s="21" t="str">
        <f t="shared" si="35"/>
        <v>B</v>
      </c>
    </row>
    <row r="238" spans="2:21">
      <c r="B238" s="20">
        <v>235</v>
      </c>
      <c r="C238" s="14" t="s">
        <v>144</v>
      </c>
      <c r="D238" s="14" t="s">
        <v>15</v>
      </c>
      <c r="E238" s="14">
        <v>4</v>
      </c>
      <c r="F238" s="14">
        <v>87</v>
      </c>
      <c r="G238" s="14">
        <v>83</v>
      </c>
      <c r="H238" s="14">
        <v>81</v>
      </c>
      <c r="I238" s="14">
        <v>85</v>
      </c>
      <c r="J238" s="14" t="s">
        <v>13</v>
      </c>
      <c r="K238" s="14">
        <v>6</v>
      </c>
      <c r="L238" s="14">
        <v>3</v>
      </c>
      <c r="M238" s="15">
        <f t="shared" si="27"/>
        <v>249</v>
      </c>
      <c r="N238" s="15">
        <f t="shared" si="28"/>
        <v>83</v>
      </c>
      <c r="O238" s="14" t="str">
        <f t="shared" si="29"/>
        <v>Excellent</v>
      </c>
      <c r="P238" s="15">
        <f t="shared" si="30"/>
        <v>20.75</v>
      </c>
      <c r="Q238" s="14" t="str">
        <f t="shared" si="31"/>
        <v>No</v>
      </c>
      <c r="R238" s="14" t="str">
        <f t="shared" si="32"/>
        <v>Normal Students</v>
      </c>
      <c r="S238" s="14" t="str">
        <f t="shared" si="33"/>
        <v>Balanced Student</v>
      </c>
      <c r="T238" s="14" t="str">
        <f t="shared" si="34"/>
        <v>High</v>
      </c>
      <c r="U238" s="21" t="str">
        <f t="shared" si="35"/>
        <v>A</v>
      </c>
    </row>
    <row r="239" spans="2:21">
      <c r="B239" s="20">
        <v>236</v>
      </c>
      <c r="C239" s="14" t="s">
        <v>145</v>
      </c>
      <c r="D239" s="14" t="s">
        <v>12</v>
      </c>
      <c r="E239" s="14">
        <v>2</v>
      </c>
      <c r="F239" s="14">
        <v>70</v>
      </c>
      <c r="G239" s="14">
        <v>62</v>
      </c>
      <c r="H239" s="14">
        <v>60</v>
      </c>
      <c r="I239" s="14">
        <v>66</v>
      </c>
      <c r="J239" s="14" t="s">
        <v>16</v>
      </c>
      <c r="K239" s="14">
        <v>8</v>
      </c>
      <c r="L239" s="14">
        <v>5</v>
      </c>
      <c r="M239" s="15">
        <f t="shared" si="27"/>
        <v>188</v>
      </c>
      <c r="N239" s="15">
        <f t="shared" si="28"/>
        <v>62.666666666666664</v>
      </c>
      <c r="O239" s="14" t="str">
        <f t="shared" si="29"/>
        <v>Good</v>
      </c>
      <c r="P239" s="15">
        <f t="shared" si="30"/>
        <v>31.333333333333332</v>
      </c>
      <c r="Q239" s="14" t="str">
        <f t="shared" si="31"/>
        <v>No</v>
      </c>
      <c r="R239" s="14" t="str">
        <f t="shared" si="32"/>
        <v>Normal Students</v>
      </c>
      <c r="S239" s="14" t="str">
        <f t="shared" si="33"/>
        <v>Unbalanced Student</v>
      </c>
      <c r="T239" s="14" t="str">
        <f t="shared" si="34"/>
        <v>Medium</v>
      </c>
      <c r="U239" s="21" t="str">
        <f t="shared" si="35"/>
        <v>C</v>
      </c>
    </row>
    <row r="240" spans="2:21">
      <c r="B240" s="20">
        <v>237</v>
      </c>
      <c r="C240" s="14" t="s">
        <v>146</v>
      </c>
      <c r="D240" s="14" t="s">
        <v>15</v>
      </c>
      <c r="E240" s="14">
        <v>5</v>
      </c>
      <c r="F240" s="14">
        <v>92</v>
      </c>
      <c r="G240" s="14">
        <v>88</v>
      </c>
      <c r="H240" s="14">
        <v>90</v>
      </c>
      <c r="I240" s="14">
        <v>91</v>
      </c>
      <c r="J240" s="14" t="s">
        <v>13</v>
      </c>
      <c r="K240" s="14">
        <v>6</v>
      </c>
      <c r="L240" s="14">
        <v>2</v>
      </c>
      <c r="M240" s="15">
        <f t="shared" si="27"/>
        <v>269</v>
      </c>
      <c r="N240" s="15">
        <f t="shared" si="28"/>
        <v>89.666666666666671</v>
      </c>
      <c r="O240" s="14" t="str">
        <f t="shared" si="29"/>
        <v>Excellent</v>
      </c>
      <c r="P240" s="15">
        <f t="shared" si="30"/>
        <v>17.933333333333334</v>
      </c>
      <c r="Q240" s="14" t="str">
        <f t="shared" si="31"/>
        <v>No</v>
      </c>
      <c r="R240" s="14" t="str">
        <f t="shared" si="32"/>
        <v>Normal Students</v>
      </c>
      <c r="S240" s="14" t="str">
        <f t="shared" si="33"/>
        <v>Balanced Student</v>
      </c>
      <c r="T240" s="14" t="str">
        <f t="shared" si="34"/>
        <v>High</v>
      </c>
      <c r="U240" s="21" t="str">
        <f t="shared" si="35"/>
        <v>A</v>
      </c>
    </row>
    <row r="241" spans="2:21">
      <c r="B241" s="20">
        <v>238</v>
      </c>
      <c r="C241" s="14" t="s">
        <v>147</v>
      </c>
      <c r="D241" s="14" t="s">
        <v>12</v>
      </c>
      <c r="E241" s="14">
        <v>3</v>
      </c>
      <c r="F241" s="14">
        <v>78</v>
      </c>
      <c r="G241" s="14">
        <v>72</v>
      </c>
      <c r="H241" s="14">
        <v>70</v>
      </c>
      <c r="I241" s="14">
        <v>75</v>
      </c>
      <c r="J241" s="14" t="s">
        <v>13</v>
      </c>
      <c r="K241" s="14">
        <v>7</v>
      </c>
      <c r="L241" s="14">
        <v>4</v>
      </c>
      <c r="M241" s="15">
        <f t="shared" si="27"/>
        <v>217</v>
      </c>
      <c r="N241" s="15">
        <f t="shared" si="28"/>
        <v>72.333333333333329</v>
      </c>
      <c r="O241" s="14" t="str">
        <f t="shared" si="29"/>
        <v>Good</v>
      </c>
      <c r="P241" s="15">
        <f t="shared" si="30"/>
        <v>24.111111111111111</v>
      </c>
      <c r="Q241" s="14" t="str">
        <f t="shared" si="31"/>
        <v>No</v>
      </c>
      <c r="R241" s="14" t="str">
        <f t="shared" si="32"/>
        <v>Normal Students</v>
      </c>
      <c r="S241" s="14" t="str">
        <f t="shared" si="33"/>
        <v>Unbalanced Student</v>
      </c>
      <c r="T241" s="14" t="str">
        <f t="shared" si="34"/>
        <v>Medium</v>
      </c>
      <c r="U241" s="21" t="str">
        <f t="shared" si="35"/>
        <v>B</v>
      </c>
    </row>
    <row r="242" spans="2:21">
      <c r="B242" s="20">
        <v>239</v>
      </c>
      <c r="C242" s="14" t="s">
        <v>148</v>
      </c>
      <c r="D242" s="14" t="s">
        <v>15</v>
      </c>
      <c r="E242" s="14">
        <v>4</v>
      </c>
      <c r="F242" s="14">
        <v>85</v>
      </c>
      <c r="G242" s="14">
        <v>80</v>
      </c>
      <c r="H242" s="14">
        <v>82</v>
      </c>
      <c r="I242" s="14">
        <v>84</v>
      </c>
      <c r="J242" s="14" t="s">
        <v>13</v>
      </c>
      <c r="K242" s="14">
        <v>7</v>
      </c>
      <c r="L242" s="14">
        <v>3</v>
      </c>
      <c r="M242" s="15">
        <f t="shared" si="27"/>
        <v>246</v>
      </c>
      <c r="N242" s="15">
        <f t="shared" si="28"/>
        <v>82</v>
      </c>
      <c r="O242" s="14" t="str">
        <f t="shared" si="29"/>
        <v>Excellent</v>
      </c>
      <c r="P242" s="15">
        <f t="shared" si="30"/>
        <v>20.5</v>
      </c>
      <c r="Q242" s="14" t="str">
        <f t="shared" si="31"/>
        <v>No</v>
      </c>
      <c r="R242" s="14" t="str">
        <f t="shared" si="32"/>
        <v>Normal Students</v>
      </c>
      <c r="S242" s="14" t="str">
        <f t="shared" si="33"/>
        <v>Balanced Student</v>
      </c>
      <c r="T242" s="14" t="str">
        <f t="shared" si="34"/>
        <v>High</v>
      </c>
      <c r="U242" s="21" t="str">
        <f t="shared" si="35"/>
        <v>A</v>
      </c>
    </row>
    <row r="243" spans="2:21">
      <c r="B243" s="20">
        <v>240</v>
      </c>
      <c r="C243" s="14" t="s">
        <v>149</v>
      </c>
      <c r="D243" s="14" t="s">
        <v>12</v>
      </c>
      <c r="E243" s="14">
        <v>6</v>
      </c>
      <c r="F243" s="14">
        <v>94</v>
      </c>
      <c r="G243" s="14">
        <v>91</v>
      </c>
      <c r="H243" s="14">
        <v>90</v>
      </c>
      <c r="I243" s="14">
        <v>92</v>
      </c>
      <c r="J243" s="14" t="s">
        <v>16</v>
      </c>
      <c r="K243" s="14">
        <v>6</v>
      </c>
      <c r="L243" s="14">
        <v>2</v>
      </c>
      <c r="M243" s="15">
        <f t="shared" si="27"/>
        <v>273</v>
      </c>
      <c r="N243" s="15">
        <f t="shared" si="28"/>
        <v>91</v>
      </c>
      <c r="O243" s="14" t="str">
        <f t="shared" si="29"/>
        <v>Excellent</v>
      </c>
      <c r="P243" s="15">
        <f t="shared" si="30"/>
        <v>15.166666666666666</v>
      </c>
      <c r="Q243" s="14" t="str">
        <f t="shared" si="31"/>
        <v>No</v>
      </c>
      <c r="R243" s="14" t="str">
        <f t="shared" si="32"/>
        <v>Normal Students</v>
      </c>
      <c r="S243" s="14" t="str">
        <f t="shared" si="33"/>
        <v>Balanced Student</v>
      </c>
      <c r="T243" s="14" t="str">
        <f t="shared" si="34"/>
        <v>High</v>
      </c>
      <c r="U243" s="21" t="str">
        <f t="shared" si="35"/>
        <v>A</v>
      </c>
    </row>
    <row r="244" spans="2:21">
      <c r="B244" s="20">
        <v>241</v>
      </c>
      <c r="C244" s="14" t="s">
        <v>150</v>
      </c>
      <c r="D244" s="14" t="s">
        <v>15</v>
      </c>
      <c r="E244" s="14">
        <v>3</v>
      </c>
      <c r="F244" s="14">
        <v>79</v>
      </c>
      <c r="G244" s="14">
        <v>74</v>
      </c>
      <c r="H244" s="14">
        <v>72</v>
      </c>
      <c r="I244" s="14">
        <v>76</v>
      </c>
      <c r="J244" s="14" t="s">
        <v>13</v>
      </c>
      <c r="K244" s="14">
        <v>7</v>
      </c>
      <c r="L244" s="14">
        <v>4</v>
      </c>
      <c r="M244" s="15">
        <f t="shared" si="27"/>
        <v>222</v>
      </c>
      <c r="N244" s="15">
        <f t="shared" si="28"/>
        <v>74</v>
      </c>
      <c r="O244" s="14" t="str">
        <f t="shared" si="29"/>
        <v>Good</v>
      </c>
      <c r="P244" s="15">
        <f t="shared" si="30"/>
        <v>24.666666666666668</v>
      </c>
      <c r="Q244" s="14" t="str">
        <f t="shared" si="31"/>
        <v>No</v>
      </c>
      <c r="R244" s="14" t="str">
        <f t="shared" si="32"/>
        <v>Normal Students</v>
      </c>
      <c r="S244" s="14" t="str">
        <f t="shared" si="33"/>
        <v>Unbalanced Student</v>
      </c>
      <c r="T244" s="14" t="str">
        <f t="shared" si="34"/>
        <v>Medium</v>
      </c>
      <c r="U244" s="21" t="str">
        <f t="shared" si="35"/>
        <v>B</v>
      </c>
    </row>
    <row r="245" spans="2:21">
      <c r="B245" s="20">
        <v>242</v>
      </c>
      <c r="C245" s="14" t="s">
        <v>151</v>
      </c>
      <c r="D245" s="14" t="s">
        <v>12</v>
      </c>
      <c r="E245" s="14">
        <v>2</v>
      </c>
      <c r="F245" s="14">
        <v>72</v>
      </c>
      <c r="G245" s="14">
        <v>65</v>
      </c>
      <c r="H245" s="14">
        <v>64</v>
      </c>
      <c r="I245" s="14">
        <v>68</v>
      </c>
      <c r="J245" s="14" t="s">
        <v>16</v>
      </c>
      <c r="K245" s="14">
        <v>8</v>
      </c>
      <c r="L245" s="14">
        <v>5</v>
      </c>
      <c r="M245" s="15">
        <f t="shared" si="27"/>
        <v>197</v>
      </c>
      <c r="N245" s="15">
        <f t="shared" si="28"/>
        <v>65.666666666666671</v>
      </c>
      <c r="O245" s="14" t="str">
        <f t="shared" si="29"/>
        <v>Good</v>
      </c>
      <c r="P245" s="15">
        <f t="shared" si="30"/>
        <v>32.833333333333336</v>
      </c>
      <c r="Q245" s="14" t="str">
        <f t="shared" si="31"/>
        <v>No</v>
      </c>
      <c r="R245" s="14" t="str">
        <f t="shared" si="32"/>
        <v>Normal Students</v>
      </c>
      <c r="S245" s="14" t="str">
        <f t="shared" si="33"/>
        <v>Unbalanced Student</v>
      </c>
      <c r="T245" s="14" t="str">
        <f t="shared" si="34"/>
        <v>Medium</v>
      </c>
      <c r="U245" s="21" t="str">
        <f t="shared" si="35"/>
        <v>C</v>
      </c>
    </row>
    <row r="246" spans="2:21">
      <c r="B246" s="20">
        <v>243</v>
      </c>
      <c r="C246" s="14" t="s">
        <v>114</v>
      </c>
      <c r="D246" s="14" t="s">
        <v>15</v>
      </c>
      <c r="E246" s="14">
        <v>5</v>
      </c>
      <c r="F246" s="14">
        <v>90</v>
      </c>
      <c r="G246" s="14">
        <v>86</v>
      </c>
      <c r="H246" s="14">
        <v>88</v>
      </c>
      <c r="I246" s="14">
        <v>89</v>
      </c>
      <c r="J246" s="14" t="s">
        <v>13</v>
      </c>
      <c r="K246" s="14">
        <v>6</v>
      </c>
      <c r="L246" s="14">
        <v>2</v>
      </c>
      <c r="M246" s="15">
        <f t="shared" si="27"/>
        <v>263</v>
      </c>
      <c r="N246" s="15">
        <f t="shared" si="28"/>
        <v>87.666666666666671</v>
      </c>
      <c r="O246" s="14" t="str">
        <f t="shared" si="29"/>
        <v>Excellent</v>
      </c>
      <c r="P246" s="15">
        <f t="shared" si="30"/>
        <v>17.533333333333335</v>
      </c>
      <c r="Q246" s="14" t="str">
        <f t="shared" si="31"/>
        <v>No</v>
      </c>
      <c r="R246" s="14" t="str">
        <f t="shared" si="32"/>
        <v>Normal Students</v>
      </c>
      <c r="S246" s="14" t="str">
        <f t="shared" si="33"/>
        <v>Balanced Student</v>
      </c>
      <c r="T246" s="14" t="str">
        <f t="shared" si="34"/>
        <v>High</v>
      </c>
      <c r="U246" s="21" t="str">
        <f t="shared" si="35"/>
        <v>A</v>
      </c>
    </row>
    <row r="247" spans="2:21">
      <c r="B247" s="20">
        <v>244</v>
      </c>
      <c r="C247" s="14" t="s">
        <v>152</v>
      </c>
      <c r="D247" s="14" t="s">
        <v>12</v>
      </c>
      <c r="E247" s="14">
        <v>3</v>
      </c>
      <c r="F247" s="14">
        <v>80</v>
      </c>
      <c r="G247" s="14">
        <v>75</v>
      </c>
      <c r="H247" s="14">
        <v>73</v>
      </c>
      <c r="I247" s="14">
        <v>78</v>
      </c>
      <c r="J247" s="14" t="s">
        <v>16</v>
      </c>
      <c r="K247" s="14">
        <v>7</v>
      </c>
      <c r="L247" s="14">
        <v>4</v>
      </c>
      <c r="M247" s="15">
        <f t="shared" si="27"/>
        <v>226</v>
      </c>
      <c r="N247" s="15">
        <f t="shared" si="28"/>
        <v>75.333333333333329</v>
      </c>
      <c r="O247" s="14" t="str">
        <f t="shared" si="29"/>
        <v>Good</v>
      </c>
      <c r="P247" s="15">
        <f t="shared" si="30"/>
        <v>25.111111111111111</v>
      </c>
      <c r="Q247" s="14" t="str">
        <f t="shared" si="31"/>
        <v>No</v>
      </c>
      <c r="R247" s="14" t="str">
        <f t="shared" si="32"/>
        <v>Normal Students</v>
      </c>
      <c r="S247" s="14" t="str">
        <f t="shared" si="33"/>
        <v>Unbalanced Student</v>
      </c>
      <c r="T247" s="14" t="str">
        <f t="shared" si="34"/>
        <v>High</v>
      </c>
      <c r="U247" s="21" t="str">
        <f t="shared" si="35"/>
        <v>B</v>
      </c>
    </row>
    <row r="248" spans="2:21">
      <c r="B248" s="20">
        <v>245</v>
      </c>
      <c r="C248" s="14" t="s">
        <v>153</v>
      </c>
      <c r="D248" s="14" t="s">
        <v>15</v>
      </c>
      <c r="E248" s="14">
        <v>4</v>
      </c>
      <c r="F248" s="14">
        <v>87</v>
      </c>
      <c r="G248" s="14">
        <v>83</v>
      </c>
      <c r="H248" s="14">
        <v>81</v>
      </c>
      <c r="I248" s="14">
        <v>85</v>
      </c>
      <c r="J248" s="14" t="s">
        <v>13</v>
      </c>
      <c r="K248" s="14">
        <v>6</v>
      </c>
      <c r="L248" s="14">
        <v>3</v>
      </c>
      <c r="M248" s="15">
        <f t="shared" si="27"/>
        <v>249</v>
      </c>
      <c r="N248" s="15">
        <f t="shared" si="28"/>
        <v>83</v>
      </c>
      <c r="O248" s="14" t="str">
        <f t="shared" si="29"/>
        <v>Excellent</v>
      </c>
      <c r="P248" s="15">
        <f t="shared" si="30"/>
        <v>20.75</v>
      </c>
      <c r="Q248" s="14" t="str">
        <f t="shared" si="31"/>
        <v>No</v>
      </c>
      <c r="R248" s="14" t="str">
        <f t="shared" si="32"/>
        <v>Normal Students</v>
      </c>
      <c r="S248" s="14" t="str">
        <f t="shared" si="33"/>
        <v>Balanced Student</v>
      </c>
      <c r="T248" s="14" t="str">
        <f t="shared" si="34"/>
        <v>High</v>
      </c>
      <c r="U248" s="21" t="str">
        <f t="shared" si="35"/>
        <v>A</v>
      </c>
    </row>
    <row r="249" spans="2:21">
      <c r="B249" s="20">
        <v>246</v>
      </c>
      <c r="C249" s="14" t="s">
        <v>35</v>
      </c>
      <c r="D249" s="14" t="s">
        <v>12</v>
      </c>
      <c r="E249" s="14">
        <v>2</v>
      </c>
      <c r="F249" s="14">
        <v>70</v>
      </c>
      <c r="G249" s="14">
        <v>62</v>
      </c>
      <c r="H249" s="14">
        <v>60</v>
      </c>
      <c r="I249" s="14">
        <v>66</v>
      </c>
      <c r="J249" s="14" t="s">
        <v>16</v>
      </c>
      <c r="K249" s="14">
        <v>8</v>
      </c>
      <c r="L249" s="14">
        <v>5</v>
      </c>
      <c r="M249" s="15">
        <f t="shared" si="27"/>
        <v>188</v>
      </c>
      <c r="N249" s="15">
        <f t="shared" si="28"/>
        <v>62.666666666666664</v>
      </c>
      <c r="O249" s="14" t="str">
        <f t="shared" si="29"/>
        <v>Good</v>
      </c>
      <c r="P249" s="15">
        <f t="shared" si="30"/>
        <v>31.333333333333332</v>
      </c>
      <c r="Q249" s="14" t="str">
        <f t="shared" si="31"/>
        <v>No</v>
      </c>
      <c r="R249" s="14" t="str">
        <f t="shared" si="32"/>
        <v>Normal Students</v>
      </c>
      <c r="S249" s="14" t="str">
        <f t="shared" si="33"/>
        <v>Unbalanced Student</v>
      </c>
      <c r="T249" s="14" t="str">
        <f t="shared" si="34"/>
        <v>Medium</v>
      </c>
      <c r="U249" s="21" t="str">
        <f t="shared" si="35"/>
        <v>C</v>
      </c>
    </row>
    <row r="250" spans="2:21">
      <c r="B250" s="20">
        <v>247</v>
      </c>
      <c r="C250" s="14" t="s">
        <v>154</v>
      </c>
      <c r="D250" s="14" t="s">
        <v>15</v>
      </c>
      <c r="E250" s="14">
        <v>5</v>
      </c>
      <c r="F250" s="14">
        <v>92</v>
      </c>
      <c r="G250" s="14">
        <v>88</v>
      </c>
      <c r="H250" s="14">
        <v>90</v>
      </c>
      <c r="I250" s="14">
        <v>91</v>
      </c>
      <c r="J250" s="14" t="s">
        <v>13</v>
      </c>
      <c r="K250" s="14">
        <v>6</v>
      </c>
      <c r="L250" s="14">
        <v>2</v>
      </c>
      <c r="M250" s="15">
        <f t="shared" si="27"/>
        <v>269</v>
      </c>
      <c r="N250" s="15">
        <f t="shared" si="28"/>
        <v>89.666666666666671</v>
      </c>
      <c r="O250" s="14" t="str">
        <f t="shared" si="29"/>
        <v>Excellent</v>
      </c>
      <c r="P250" s="15">
        <f t="shared" si="30"/>
        <v>17.933333333333334</v>
      </c>
      <c r="Q250" s="14" t="str">
        <f t="shared" si="31"/>
        <v>No</v>
      </c>
      <c r="R250" s="14" t="str">
        <f t="shared" si="32"/>
        <v>Normal Students</v>
      </c>
      <c r="S250" s="14" t="str">
        <f t="shared" si="33"/>
        <v>Balanced Student</v>
      </c>
      <c r="T250" s="14" t="str">
        <f t="shared" si="34"/>
        <v>High</v>
      </c>
      <c r="U250" s="21" t="str">
        <f t="shared" si="35"/>
        <v>A</v>
      </c>
    </row>
    <row r="251" spans="2:21">
      <c r="B251" s="20">
        <v>248</v>
      </c>
      <c r="C251" s="14" t="s">
        <v>71</v>
      </c>
      <c r="D251" s="14" t="s">
        <v>12</v>
      </c>
      <c r="E251" s="14">
        <v>3</v>
      </c>
      <c r="F251" s="14">
        <v>78</v>
      </c>
      <c r="G251" s="14">
        <v>72</v>
      </c>
      <c r="H251" s="14">
        <v>70</v>
      </c>
      <c r="I251" s="14">
        <v>75</v>
      </c>
      <c r="J251" s="14" t="s">
        <v>13</v>
      </c>
      <c r="K251" s="14">
        <v>7</v>
      </c>
      <c r="L251" s="14">
        <v>4</v>
      </c>
      <c r="M251" s="15">
        <f t="shared" si="27"/>
        <v>217</v>
      </c>
      <c r="N251" s="15">
        <f t="shared" si="28"/>
        <v>72.333333333333329</v>
      </c>
      <c r="O251" s="14" t="str">
        <f t="shared" si="29"/>
        <v>Good</v>
      </c>
      <c r="P251" s="15">
        <f t="shared" si="30"/>
        <v>24.111111111111111</v>
      </c>
      <c r="Q251" s="14" t="str">
        <f t="shared" si="31"/>
        <v>No</v>
      </c>
      <c r="R251" s="14" t="str">
        <f t="shared" si="32"/>
        <v>Normal Students</v>
      </c>
      <c r="S251" s="14" t="str">
        <f t="shared" si="33"/>
        <v>Unbalanced Student</v>
      </c>
      <c r="T251" s="14" t="str">
        <f t="shared" si="34"/>
        <v>Medium</v>
      </c>
      <c r="U251" s="21" t="str">
        <f t="shared" si="35"/>
        <v>B</v>
      </c>
    </row>
    <row r="252" spans="2:21">
      <c r="B252" s="20">
        <v>249</v>
      </c>
      <c r="C252" s="14" t="s">
        <v>155</v>
      </c>
      <c r="D252" s="14" t="s">
        <v>15</v>
      </c>
      <c r="E252" s="14">
        <v>4</v>
      </c>
      <c r="F252" s="14">
        <v>85</v>
      </c>
      <c r="G252" s="14">
        <v>80</v>
      </c>
      <c r="H252" s="14">
        <v>82</v>
      </c>
      <c r="I252" s="14">
        <v>84</v>
      </c>
      <c r="J252" s="14" t="s">
        <v>13</v>
      </c>
      <c r="K252" s="14">
        <v>7</v>
      </c>
      <c r="L252" s="14">
        <v>3</v>
      </c>
      <c r="M252" s="15">
        <f t="shared" si="27"/>
        <v>246</v>
      </c>
      <c r="N252" s="15">
        <f t="shared" si="28"/>
        <v>82</v>
      </c>
      <c r="O252" s="14" t="str">
        <f t="shared" si="29"/>
        <v>Excellent</v>
      </c>
      <c r="P252" s="15">
        <f t="shared" si="30"/>
        <v>20.5</v>
      </c>
      <c r="Q252" s="14" t="str">
        <f t="shared" si="31"/>
        <v>No</v>
      </c>
      <c r="R252" s="14" t="str">
        <f t="shared" si="32"/>
        <v>Normal Students</v>
      </c>
      <c r="S252" s="14" t="str">
        <f t="shared" si="33"/>
        <v>Balanced Student</v>
      </c>
      <c r="T252" s="14" t="str">
        <f t="shared" si="34"/>
        <v>High</v>
      </c>
      <c r="U252" s="21" t="str">
        <f t="shared" si="35"/>
        <v>A</v>
      </c>
    </row>
    <row r="253" spans="2:21">
      <c r="B253" s="20">
        <v>250</v>
      </c>
      <c r="C253" s="14" t="s">
        <v>156</v>
      </c>
      <c r="D253" s="14" t="s">
        <v>12</v>
      </c>
      <c r="E253" s="14">
        <v>6</v>
      </c>
      <c r="F253" s="14">
        <v>94</v>
      </c>
      <c r="G253" s="14">
        <v>91</v>
      </c>
      <c r="H253" s="14">
        <v>90</v>
      </c>
      <c r="I253" s="14">
        <v>92</v>
      </c>
      <c r="J253" s="14" t="s">
        <v>16</v>
      </c>
      <c r="K253" s="14">
        <v>6</v>
      </c>
      <c r="L253" s="14">
        <v>2</v>
      </c>
      <c r="M253" s="15">
        <f t="shared" si="27"/>
        <v>273</v>
      </c>
      <c r="N253" s="15">
        <f t="shared" si="28"/>
        <v>91</v>
      </c>
      <c r="O253" s="14" t="str">
        <f t="shared" si="29"/>
        <v>Excellent</v>
      </c>
      <c r="P253" s="15">
        <f t="shared" si="30"/>
        <v>15.166666666666666</v>
      </c>
      <c r="Q253" s="14" t="str">
        <f t="shared" si="31"/>
        <v>No</v>
      </c>
      <c r="R253" s="14" t="str">
        <f t="shared" si="32"/>
        <v>Normal Students</v>
      </c>
      <c r="S253" s="14" t="str">
        <f t="shared" si="33"/>
        <v>Balanced Student</v>
      </c>
      <c r="T253" s="14" t="str">
        <f t="shared" si="34"/>
        <v>High</v>
      </c>
      <c r="U253" s="21" t="str">
        <f t="shared" si="35"/>
        <v>A</v>
      </c>
    </row>
    <row r="254" spans="2:21">
      <c r="B254" s="20">
        <v>251</v>
      </c>
      <c r="C254" s="14" t="s">
        <v>165</v>
      </c>
      <c r="D254" s="14" t="s">
        <v>12</v>
      </c>
      <c r="E254" s="14">
        <v>3</v>
      </c>
      <c r="F254" s="14">
        <v>80</v>
      </c>
      <c r="G254" s="14">
        <v>75</v>
      </c>
      <c r="H254" s="14">
        <v>73</v>
      </c>
      <c r="I254" s="14">
        <v>78</v>
      </c>
      <c r="J254" s="14" t="s">
        <v>13</v>
      </c>
      <c r="K254" s="14">
        <v>7</v>
      </c>
      <c r="L254" s="14">
        <v>4</v>
      </c>
      <c r="M254" s="15">
        <f t="shared" si="27"/>
        <v>226</v>
      </c>
      <c r="N254" s="15">
        <f t="shared" si="28"/>
        <v>75.333333333333329</v>
      </c>
      <c r="O254" s="14" t="str">
        <f t="shared" si="29"/>
        <v>Good</v>
      </c>
      <c r="P254" s="15">
        <f t="shared" si="30"/>
        <v>25.111111111111111</v>
      </c>
      <c r="Q254" s="14" t="str">
        <f t="shared" si="31"/>
        <v>No</v>
      </c>
      <c r="R254" s="14" t="str">
        <f t="shared" si="32"/>
        <v>Normal Students</v>
      </c>
      <c r="S254" s="14" t="str">
        <f t="shared" si="33"/>
        <v>Unbalanced Student</v>
      </c>
      <c r="T254" s="14" t="str">
        <f t="shared" si="34"/>
        <v>High</v>
      </c>
      <c r="U254" s="21" t="str">
        <f t="shared" si="35"/>
        <v>B</v>
      </c>
    </row>
    <row r="255" spans="2:21">
      <c r="B255" s="20">
        <v>252</v>
      </c>
      <c r="C255" s="14" t="s">
        <v>158</v>
      </c>
      <c r="D255" s="14" t="s">
        <v>159</v>
      </c>
      <c r="E255" s="14">
        <v>5</v>
      </c>
      <c r="F255" s="14">
        <v>90</v>
      </c>
      <c r="G255" s="14">
        <v>86</v>
      </c>
      <c r="H255" s="14">
        <v>88</v>
      </c>
      <c r="I255" s="14">
        <v>89</v>
      </c>
      <c r="J255" s="14" t="s">
        <v>67</v>
      </c>
      <c r="K255" s="14">
        <v>6</v>
      </c>
      <c r="L255" s="14">
        <v>2</v>
      </c>
      <c r="M255" s="15">
        <f t="shared" si="27"/>
        <v>263</v>
      </c>
      <c r="N255" s="15">
        <f t="shared" si="28"/>
        <v>87.666666666666671</v>
      </c>
      <c r="O255" s="14" t="str">
        <f t="shared" si="29"/>
        <v>Excellent</v>
      </c>
      <c r="P255" s="15">
        <f t="shared" si="30"/>
        <v>17.533333333333335</v>
      </c>
      <c r="Q255" s="14" t="str">
        <f t="shared" si="31"/>
        <v>No</v>
      </c>
      <c r="R255" s="14" t="str">
        <f t="shared" si="32"/>
        <v>Normal Students</v>
      </c>
      <c r="S255" s="14" t="str">
        <f t="shared" si="33"/>
        <v>Balanced Student</v>
      </c>
      <c r="T255" s="14" t="str">
        <f t="shared" si="34"/>
        <v>High</v>
      </c>
      <c r="U255" s="21" t="str">
        <f t="shared" si="35"/>
        <v>A</v>
      </c>
    </row>
    <row r="256" spans="2:21">
      <c r="B256" s="20">
        <v>253</v>
      </c>
      <c r="C256" s="14" t="s">
        <v>63</v>
      </c>
      <c r="D256" s="14" t="s">
        <v>12</v>
      </c>
      <c r="E256" s="14">
        <v>0</v>
      </c>
      <c r="F256" s="14">
        <v>85</v>
      </c>
      <c r="G256" s="14">
        <v>80</v>
      </c>
      <c r="H256" s="14">
        <v>82</v>
      </c>
      <c r="I256" s="14">
        <v>84</v>
      </c>
      <c r="J256" s="14" t="s">
        <v>13</v>
      </c>
      <c r="K256" s="14">
        <v>7</v>
      </c>
      <c r="L256" s="14">
        <v>3</v>
      </c>
      <c r="M256" s="15">
        <f t="shared" si="27"/>
        <v>246</v>
      </c>
      <c r="N256" s="15">
        <f t="shared" si="28"/>
        <v>82</v>
      </c>
      <c r="O256" s="14" t="str">
        <f t="shared" si="29"/>
        <v>Excellent</v>
      </c>
      <c r="P256" s="15">
        <f t="shared" si="30"/>
        <v>0</v>
      </c>
      <c r="Q256" s="14" t="str">
        <f t="shared" si="31"/>
        <v>No</v>
      </c>
      <c r="R256" s="14" t="str">
        <f t="shared" si="32"/>
        <v>Smart Students</v>
      </c>
      <c r="S256" s="14" t="str">
        <f t="shared" si="33"/>
        <v>Balanced Student</v>
      </c>
      <c r="T256" s="14" t="str">
        <f t="shared" si="34"/>
        <v>High</v>
      </c>
      <c r="U256" s="21" t="str">
        <f t="shared" si="35"/>
        <v>A</v>
      </c>
    </row>
    <row r="257" spans="2:21">
      <c r="B257" s="20">
        <v>254</v>
      </c>
      <c r="C257" s="14" t="s">
        <v>160</v>
      </c>
      <c r="D257" s="14" t="s">
        <v>161</v>
      </c>
      <c r="E257" s="14">
        <v>2</v>
      </c>
      <c r="F257" s="14">
        <v>70</v>
      </c>
      <c r="G257" s="14">
        <v>62</v>
      </c>
      <c r="H257" s="14">
        <v>60</v>
      </c>
      <c r="I257" s="14">
        <v>66</v>
      </c>
      <c r="J257" s="14" t="s">
        <v>162</v>
      </c>
      <c r="K257" s="14">
        <v>8</v>
      </c>
      <c r="L257" s="14">
        <v>5</v>
      </c>
      <c r="M257" s="15">
        <f t="shared" si="27"/>
        <v>188</v>
      </c>
      <c r="N257" s="15">
        <f t="shared" si="28"/>
        <v>62.666666666666664</v>
      </c>
      <c r="O257" s="14" t="str">
        <f t="shared" si="29"/>
        <v>Good</v>
      </c>
      <c r="P257" s="15">
        <f t="shared" si="30"/>
        <v>31.333333333333332</v>
      </c>
      <c r="Q257" s="14" t="str">
        <f t="shared" si="31"/>
        <v>No</v>
      </c>
      <c r="R257" s="14" t="str">
        <f t="shared" si="32"/>
        <v>Normal Students</v>
      </c>
      <c r="S257" s="14" t="str">
        <f t="shared" si="33"/>
        <v>Unbalanced Student</v>
      </c>
      <c r="T257" s="14" t="str">
        <f t="shared" si="34"/>
        <v>Medium</v>
      </c>
      <c r="U257" s="21" t="str">
        <f t="shared" si="35"/>
        <v>C</v>
      </c>
    </row>
    <row r="258" spans="2:21">
      <c r="B258" s="20">
        <v>255</v>
      </c>
      <c r="C258" s="14" t="s">
        <v>40</v>
      </c>
      <c r="D258" s="14" t="s">
        <v>15</v>
      </c>
      <c r="E258" s="14">
        <v>5</v>
      </c>
      <c r="F258" s="14">
        <v>92</v>
      </c>
      <c r="G258" s="14">
        <v>88</v>
      </c>
      <c r="H258" s="14">
        <v>90</v>
      </c>
      <c r="I258" s="14">
        <v>91</v>
      </c>
      <c r="J258" s="14" t="s">
        <v>13</v>
      </c>
      <c r="K258" s="14">
        <v>0</v>
      </c>
      <c r="L258" s="14">
        <v>2</v>
      </c>
      <c r="M258" s="15">
        <f t="shared" si="27"/>
        <v>269</v>
      </c>
      <c r="N258" s="15">
        <f t="shared" si="28"/>
        <v>89.666666666666671</v>
      </c>
      <c r="O258" s="14" t="str">
        <f t="shared" si="29"/>
        <v>Excellent</v>
      </c>
      <c r="P258" s="15">
        <f t="shared" si="30"/>
        <v>17.933333333333334</v>
      </c>
      <c r="Q258" s="14" t="str">
        <f t="shared" si="31"/>
        <v>No</v>
      </c>
      <c r="R258" s="14" t="str">
        <f t="shared" si="32"/>
        <v>Normal Students</v>
      </c>
      <c r="S258" s="14" t="str">
        <f t="shared" si="33"/>
        <v>Unbalanced Student</v>
      </c>
      <c r="T258" s="14" t="str">
        <f t="shared" si="34"/>
        <v>High</v>
      </c>
      <c r="U258" s="21" t="str">
        <f t="shared" si="35"/>
        <v>A</v>
      </c>
    </row>
    <row r="259" spans="2:21">
      <c r="B259" s="20">
        <v>256</v>
      </c>
      <c r="C259" s="14" t="s">
        <v>71</v>
      </c>
      <c r="D259" s="14" t="s">
        <v>12</v>
      </c>
      <c r="E259" s="14">
        <v>3</v>
      </c>
      <c r="F259" s="14">
        <v>78</v>
      </c>
      <c r="G259" s="14">
        <v>72</v>
      </c>
      <c r="H259" s="14">
        <v>70</v>
      </c>
      <c r="I259" s="14">
        <v>75</v>
      </c>
      <c r="J259" s="14" t="s">
        <v>13</v>
      </c>
      <c r="K259" s="14">
        <v>7</v>
      </c>
      <c r="L259" s="14">
        <v>4</v>
      </c>
      <c r="M259" s="15">
        <f t="shared" si="27"/>
        <v>217</v>
      </c>
      <c r="N259" s="15">
        <f t="shared" si="28"/>
        <v>72.333333333333329</v>
      </c>
      <c r="O259" s="14" t="str">
        <f t="shared" si="29"/>
        <v>Good</v>
      </c>
      <c r="P259" s="15">
        <f t="shared" si="30"/>
        <v>24.111111111111111</v>
      </c>
      <c r="Q259" s="14" t="str">
        <f t="shared" si="31"/>
        <v>No</v>
      </c>
      <c r="R259" s="14" t="str">
        <f t="shared" si="32"/>
        <v>Normal Students</v>
      </c>
      <c r="S259" s="14" t="str">
        <f t="shared" si="33"/>
        <v>Unbalanced Student</v>
      </c>
      <c r="T259" s="14" t="str">
        <f t="shared" si="34"/>
        <v>Medium</v>
      </c>
      <c r="U259" s="21" t="str">
        <f t="shared" si="35"/>
        <v>B</v>
      </c>
    </row>
    <row r="260" spans="2:21">
      <c r="B260" s="20">
        <v>257</v>
      </c>
      <c r="C260" s="14" t="s">
        <v>158</v>
      </c>
      <c r="D260" s="14" t="s">
        <v>159</v>
      </c>
      <c r="E260" s="14">
        <v>5</v>
      </c>
      <c r="F260" s="14">
        <v>90</v>
      </c>
      <c r="G260" s="14">
        <v>86</v>
      </c>
      <c r="H260" s="14">
        <v>88</v>
      </c>
      <c r="I260" s="14">
        <v>89</v>
      </c>
      <c r="J260" s="14" t="s">
        <v>67</v>
      </c>
      <c r="K260" s="14">
        <v>6</v>
      </c>
      <c r="L260" s="14">
        <v>2</v>
      </c>
      <c r="M260" s="15">
        <f t="shared" si="27"/>
        <v>263</v>
      </c>
      <c r="N260" s="15">
        <f t="shared" si="28"/>
        <v>87.666666666666671</v>
      </c>
      <c r="O260" s="14" t="str">
        <f t="shared" si="29"/>
        <v>Excellent</v>
      </c>
      <c r="P260" s="15">
        <f t="shared" si="30"/>
        <v>17.533333333333335</v>
      </c>
      <c r="Q260" s="14" t="str">
        <f t="shared" si="31"/>
        <v>No</v>
      </c>
      <c r="R260" s="14" t="str">
        <f t="shared" si="32"/>
        <v>Normal Students</v>
      </c>
      <c r="S260" s="14" t="str">
        <f t="shared" si="33"/>
        <v>Balanced Student</v>
      </c>
      <c r="T260" s="14" t="str">
        <f t="shared" si="34"/>
        <v>High</v>
      </c>
      <c r="U260" s="21" t="str">
        <f t="shared" si="35"/>
        <v>A</v>
      </c>
    </row>
    <row r="261" spans="2:21">
      <c r="B261" s="20">
        <v>258</v>
      </c>
      <c r="C261" s="14" t="s">
        <v>63</v>
      </c>
      <c r="D261" s="14" t="s">
        <v>12</v>
      </c>
      <c r="E261" s="14">
        <v>0</v>
      </c>
      <c r="F261" s="14">
        <v>85</v>
      </c>
      <c r="G261" s="14">
        <v>80</v>
      </c>
      <c r="H261" s="14">
        <v>82</v>
      </c>
      <c r="I261" s="14">
        <v>84</v>
      </c>
      <c r="J261" s="14" t="s">
        <v>13</v>
      </c>
      <c r="K261" s="14">
        <v>7</v>
      </c>
      <c r="L261" s="14">
        <v>3</v>
      </c>
      <c r="M261" s="15">
        <f t="shared" ref="M261:M324" si="36">SUM(G261:I261)</f>
        <v>246</v>
      </c>
      <c r="N261" s="15">
        <f t="shared" ref="N261:N324" si="37">AVERAGE(G261:I261)</f>
        <v>82</v>
      </c>
      <c r="O261" s="14" t="str">
        <f t="shared" ref="O261:O324" si="38">IF(N261&gt;= 80, "Excellent",IF(N261&gt;=60, "Good","Needs Improvement"))</f>
        <v>Excellent</v>
      </c>
      <c r="P261" s="15">
        <f t="shared" ref="P261:P324" si="39">IF(E261,N261/E261,0)</f>
        <v>0</v>
      </c>
      <c r="Q261" s="14" t="str">
        <f t="shared" ref="Q261:Q324" si="40">IF(AND(F261 &lt; 75,N261 &lt; 60),"Yes", "No")</f>
        <v>No</v>
      </c>
      <c r="R261" s="14" t="str">
        <f t="shared" ref="R261:R324" si="41">IF(AND(N261&gt;=80,E261&lt;=2),"Smart Students","Normal Students")</f>
        <v>Smart Students</v>
      </c>
      <c r="S261" s="14" t="str">
        <f t="shared" ref="S261:S324" si="42">IF(AND(F261&gt;=75,K261&gt;=6,N261&gt;=80),"Balanced Student","Unbalanced Student")</f>
        <v>Balanced Student</v>
      </c>
      <c r="T261" s="14" t="str">
        <f t="shared" ref="T261:T324" si="43">IF(F261&gt;= 80, "High",
IF(F261&gt;=60,"Medium", "Low"))</f>
        <v>High</v>
      </c>
      <c r="U261" s="21" t="str">
        <f t="shared" ref="U261:U324" si="44">VLOOKUP(N261,$AA$5:$AB$9,2,1)</f>
        <v>A</v>
      </c>
    </row>
    <row r="262" spans="2:21">
      <c r="B262" s="20">
        <v>259</v>
      </c>
      <c r="C262" s="14" t="s">
        <v>160</v>
      </c>
      <c r="D262" s="14" t="s">
        <v>161</v>
      </c>
      <c r="E262" s="14">
        <v>2</v>
      </c>
      <c r="F262" s="14">
        <v>70</v>
      </c>
      <c r="G262" s="14">
        <v>62</v>
      </c>
      <c r="H262" s="14">
        <v>60</v>
      </c>
      <c r="I262" s="14">
        <v>66</v>
      </c>
      <c r="J262" s="14" t="s">
        <v>162</v>
      </c>
      <c r="K262" s="14">
        <v>8</v>
      </c>
      <c r="L262" s="14">
        <v>5</v>
      </c>
      <c r="M262" s="15">
        <f t="shared" si="36"/>
        <v>188</v>
      </c>
      <c r="N262" s="15">
        <f t="shared" si="37"/>
        <v>62.666666666666664</v>
      </c>
      <c r="O262" s="14" t="str">
        <f t="shared" si="38"/>
        <v>Good</v>
      </c>
      <c r="P262" s="15">
        <f t="shared" si="39"/>
        <v>31.333333333333332</v>
      </c>
      <c r="Q262" s="14" t="str">
        <f t="shared" si="40"/>
        <v>No</v>
      </c>
      <c r="R262" s="14" t="str">
        <f t="shared" si="41"/>
        <v>Normal Students</v>
      </c>
      <c r="S262" s="14" t="str">
        <f t="shared" si="42"/>
        <v>Unbalanced Student</v>
      </c>
      <c r="T262" s="14" t="str">
        <f t="shared" si="43"/>
        <v>Medium</v>
      </c>
      <c r="U262" s="21" t="str">
        <f t="shared" si="44"/>
        <v>C</v>
      </c>
    </row>
    <row r="263" spans="2:21">
      <c r="B263" s="20">
        <v>260</v>
      </c>
      <c r="C263" s="14" t="s">
        <v>40</v>
      </c>
      <c r="D263" s="14" t="s">
        <v>15</v>
      </c>
      <c r="E263" s="14">
        <v>5</v>
      </c>
      <c r="F263" s="14">
        <v>92</v>
      </c>
      <c r="G263" s="14">
        <v>88</v>
      </c>
      <c r="H263" s="14">
        <v>90</v>
      </c>
      <c r="I263" s="14">
        <v>91</v>
      </c>
      <c r="J263" s="14" t="s">
        <v>13</v>
      </c>
      <c r="K263" s="14">
        <v>0</v>
      </c>
      <c r="L263" s="14">
        <v>2</v>
      </c>
      <c r="M263" s="15">
        <f t="shared" si="36"/>
        <v>269</v>
      </c>
      <c r="N263" s="15">
        <f t="shared" si="37"/>
        <v>89.666666666666671</v>
      </c>
      <c r="O263" s="14" t="str">
        <f t="shared" si="38"/>
        <v>Excellent</v>
      </c>
      <c r="P263" s="15">
        <f t="shared" si="39"/>
        <v>17.933333333333334</v>
      </c>
      <c r="Q263" s="14" t="str">
        <f t="shared" si="40"/>
        <v>No</v>
      </c>
      <c r="R263" s="14" t="str">
        <f t="shared" si="41"/>
        <v>Normal Students</v>
      </c>
      <c r="S263" s="14" t="str">
        <f t="shared" si="42"/>
        <v>Unbalanced Student</v>
      </c>
      <c r="T263" s="14" t="str">
        <f t="shared" si="43"/>
        <v>High</v>
      </c>
      <c r="U263" s="21" t="str">
        <f t="shared" si="44"/>
        <v>A</v>
      </c>
    </row>
    <row r="264" spans="2:21">
      <c r="B264" s="20">
        <v>261</v>
      </c>
      <c r="C264" s="14" t="s">
        <v>50</v>
      </c>
      <c r="D264" s="14" t="s">
        <v>15</v>
      </c>
      <c r="E264" s="14">
        <v>4</v>
      </c>
      <c r="F264" s="14">
        <v>87</v>
      </c>
      <c r="G264" s="14">
        <v>83</v>
      </c>
      <c r="H264" s="14">
        <v>81</v>
      </c>
      <c r="I264" s="14">
        <v>85</v>
      </c>
      <c r="J264" s="14" t="s">
        <v>13</v>
      </c>
      <c r="K264" s="14">
        <v>6</v>
      </c>
      <c r="L264" s="14">
        <v>3</v>
      </c>
      <c r="M264" s="15">
        <f t="shared" si="36"/>
        <v>249</v>
      </c>
      <c r="N264" s="15">
        <f t="shared" si="37"/>
        <v>83</v>
      </c>
      <c r="O264" s="14" t="str">
        <f t="shared" si="38"/>
        <v>Excellent</v>
      </c>
      <c r="P264" s="15">
        <f t="shared" si="39"/>
        <v>20.75</v>
      </c>
      <c r="Q264" s="14" t="str">
        <f t="shared" si="40"/>
        <v>No</v>
      </c>
      <c r="R264" s="14" t="str">
        <f t="shared" si="41"/>
        <v>Normal Students</v>
      </c>
      <c r="S264" s="14" t="str">
        <f t="shared" si="42"/>
        <v>Balanced Student</v>
      </c>
      <c r="T264" s="14" t="str">
        <f t="shared" si="43"/>
        <v>High</v>
      </c>
      <c r="U264" s="21" t="str">
        <f t="shared" si="44"/>
        <v>A</v>
      </c>
    </row>
    <row r="265" spans="2:21">
      <c r="B265" s="20">
        <v>262</v>
      </c>
      <c r="C265" s="14" t="s">
        <v>165</v>
      </c>
      <c r="D265" s="14" t="s">
        <v>12</v>
      </c>
      <c r="E265" s="14">
        <v>2</v>
      </c>
      <c r="F265" s="14">
        <v>68</v>
      </c>
      <c r="G265" s="14">
        <v>60</v>
      </c>
      <c r="H265" s="14">
        <v>58</v>
      </c>
      <c r="I265" s="14">
        <v>64</v>
      </c>
      <c r="J265" s="14" t="s">
        <v>16</v>
      </c>
      <c r="K265" s="14">
        <v>8</v>
      </c>
      <c r="L265" s="14">
        <v>5</v>
      </c>
      <c r="M265" s="15">
        <f t="shared" si="36"/>
        <v>182</v>
      </c>
      <c r="N265" s="15">
        <f t="shared" si="37"/>
        <v>60.666666666666664</v>
      </c>
      <c r="O265" s="14" t="str">
        <f t="shared" si="38"/>
        <v>Good</v>
      </c>
      <c r="P265" s="15">
        <f t="shared" si="39"/>
        <v>30.333333333333332</v>
      </c>
      <c r="Q265" s="14" t="str">
        <f t="shared" si="40"/>
        <v>No</v>
      </c>
      <c r="R265" s="14" t="str">
        <f t="shared" si="41"/>
        <v>Normal Students</v>
      </c>
      <c r="S265" s="14" t="str">
        <f t="shared" si="42"/>
        <v>Unbalanced Student</v>
      </c>
      <c r="T265" s="14" t="str">
        <f t="shared" si="43"/>
        <v>Medium</v>
      </c>
      <c r="U265" s="21" t="str">
        <f t="shared" si="44"/>
        <v>C</v>
      </c>
    </row>
    <row r="266" spans="2:21">
      <c r="B266" s="20">
        <v>263</v>
      </c>
      <c r="C266" s="14" t="s">
        <v>154</v>
      </c>
      <c r="D266" s="14" t="s">
        <v>15</v>
      </c>
      <c r="E266" s="14">
        <v>5</v>
      </c>
      <c r="F266" s="14">
        <v>91</v>
      </c>
      <c r="G266" s="14">
        <v>87</v>
      </c>
      <c r="H266" s="14">
        <v>88</v>
      </c>
      <c r="I266" s="14">
        <v>90</v>
      </c>
      <c r="J266" s="14" t="s">
        <v>13</v>
      </c>
      <c r="K266" s="14">
        <v>6</v>
      </c>
      <c r="L266" s="14">
        <v>2</v>
      </c>
      <c r="M266" s="15">
        <f t="shared" si="36"/>
        <v>265</v>
      </c>
      <c r="N266" s="15">
        <f t="shared" si="37"/>
        <v>88.333333333333329</v>
      </c>
      <c r="O266" s="14" t="str">
        <f t="shared" si="38"/>
        <v>Excellent</v>
      </c>
      <c r="P266" s="15">
        <f t="shared" si="39"/>
        <v>17.666666666666664</v>
      </c>
      <c r="Q266" s="14" t="str">
        <f t="shared" si="40"/>
        <v>No</v>
      </c>
      <c r="R266" s="14" t="str">
        <f t="shared" si="41"/>
        <v>Normal Students</v>
      </c>
      <c r="S266" s="14" t="str">
        <f t="shared" si="42"/>
        <v>Balanced Student</v>
      </c>
      <c r="T266" s="14" t="str">
        <f t="shared" si="43"/>
        <v>High</v>
      </c>
      <c r="U266" s="21" t="str">
        <f t="shared" si="44"/>
        <v>A</v>
      </c>
    </row>
    <row r="267" spans="2:21">
      <c r="B267" s="20">
        <v>264</v>
      </c>
      <c r="C267" s="14" t="s">
        <v>156</v>
      </c>
      <c r="D267" s="14" t="s">
        <v>12</v>
      </c>
      <c r="E267" s="14">
        <v>6</v>
      </c>
      <c r="F267" s="14">
        <v>94</v>
      </c>
      <c r="G267" s="14">
        <v>91</v>
      </c>
      <c r="H267" s="14">
        <v>90</v>
      </c>
      <c r="I267" s="14">
        <v>92</v>
      </c>
      <c r="J267" s="14" t="s">
        <v>16</v>
      </c>
      <c r="K267" s="14">
        <v>6</v>
      </c>
      <c r="L267" s="14">
        <v>2</v>
      </c>
      <c r="M267" s="15">
        <f t="shared" si="36"/>
        <v>273</v>
      </c>
      <c r="N267" s="15">
        <f t="shared" si="37"/>
        <v>91</v>
      </c>
      <c r="O267" s="14" t="str">
        <f t="shared" si="38"/>
        <v>Excellent</v>
      </c>
      <c r="P267" s="15">
        <f t="shared" si="39"/>
        <v>15.166666666666666</v>
      </c>
      <c r="Q267" s="14" t="str">
        <f t="shared" si="40"/>
        <v>No</v>
      </c>
      <c r="R267" s="14" t="str">
        <f t="shared" si="41"/>
        <v>Normal Students</v>
      </c>
      <c r="S267" s="14" t="str">
        <f t="shared" si="42"/>
        <v>Balanced Student</v>
      </c>
      <c r="T267" s="14" t="str">
        <f t="shared" si="43"/>
        <v>High</v>
      </c>
      <c r="U267" s="21" t="str">
        <f t="shared" si="44"/>
        <v>A</v>
      </c>
    </row>
    <row r="268" spans="2:21">
      <c r="B268" s="20">
        <v>265</v>
      </c>
      <c r="C268" s="14" t="s">
        <v>37</v>
      </c>
      <c r="D268" s="14" t="s">
        <v>12</v>
      </c>
      <c r="E268" s="14">
        <v>3</v>
      </c>
      <c r="F268" s="14">
        <v>80</v>
      </c>
      <c r="G268" s="14">
        <v>75</v>
      </c>
      <c r="H268" s="14">
        <v>73</v>
      </c>
      <c r="I268" s="14">
        <v>78</v>
      </c>
      <c r="J268" s="14" t="s">
        <v>13</v>
      </c>
      <c r="K268" s="14">
        <v>7</v>
      </c>
      <c r="L268" s="14">
        <v>4</v>
      </c>
      <c r="M268" s="15">
        <f t="shared" si="36"/>
        <v>226</v>
      </c>
      <c r="N268" s="15">
        <f t="shared" si="37"/>
        <v>75.333333333333329</v>
      </c>
      <c r="O268" s="14" t="str">
        <f t="shared" si="38"/>
        <v>Good</v>
      </c>
      <c r="P268" s="15">
        <f t="shared" si="39"/>
        <v>25.111111111111111</v>
      </c>
      <c r="Q268" s="14" t="str">
        <f t="shared" si="40"/>
        <v>No</v>
      </c>
      <c r="R268" s="14" t="str">
        <f t="shared" si="41"/>
        <v>Normal Students</v>
      </c>
      <c r="S268" s="14" t="str">
        <f t="shared" si="42"/>
        <v>Unbalanced Student</v>
      </c>
      <c r="T268" s="14" t="str">
        <f t="shared" si="43"/>
        <v>High</v>
      </c>
      <c r="U268" s="21" t="str">
        <f t="shared" si="44"/>
        <v>B</v>
      </c>
    </row>
    <row r="269" spans="2:21">
      <c r="B269" s="20">
        <v>266</v>
      </c>
      <c r="C269" s="14" t="s">
        <v>28</v>
      </c>
      <c r="D269" s="14" t="s">
        <v>15</v>
      </c>
      <c r="E269" s="14">
        <v>4</v>
      </c>
      <c r="F269" s="14">
        <v>85</v>
      </c>
      <c r="G269" s="14">
        <v>80</v>
      </c>
      <c r="H269" s="14">
        <v>82</v>
      </c>
      <c r="I269" s="14">
        <v>84</v>
      </c>
      <c r="J269" s="14" t="s">
        <v>13</v>
      </c>
      <c r="K269" s="14">
        <v>7</v>
      </c>
      <c r="L269" s="14">
        <v>3</v>
      </c>
      <c r="M269" s="15">
        <f t="shared" si="36"/>
        <v>246</v>
      </c>
      <c r="N269" s="15">
        <f t="shared" si="37"/>
        <v>82</v>
      </c>
      <c r="O269" s="14" t="str">
        <f t="shared" si="38"/>
        <v>Excellent</v>
      </c>
      <c r="P269" s="15">
        <f t="shared" si="39"/>
        <v>20.5</v>
      </c>
      <c r="Q269" s="14" t="str">
        <f t="shared" si="40"/>
        <v>No</v>
      </c>
      <c r="R269" s="14" t="str">
        <f t="shared" si="41"/>
        <v>Normal Students</v>
      </c>
      <c r="S269" s="14" t="str">
        <f t="shared" si="42"/>
        <v>Balanced Student</v>
      </c>
      <c r="T269" s="14" t="str">
        <f t="shared" si="43"/>
        <v>High</v>
      </c>
      <c r="U269" s="21" t="str">
        <f t="shared" si="44"/>
        <v>A</v>
      </c>
    </row>
    <row r="270" spans="2:21">
      <c r="B270" s="20">
        <v>267</v>
      </c>
      <c r="C270" s="14" t="s">
        <v>39</v>
      </c>
      <c r="D270" s="14" t="s">
        <v>12</v>
      </c>
      <c r="E270" s="14">
        <v>2</v>
      </c>
      <c r="F270" s="14">
        <v>70</v>
      </c>
      <c r="G270" s="14">
        <v>62</v>
      </c>
      <c r="H270" s="14">
        <v>60</v>
      </c>
      <c r="I270" s="14">
        <v>66</v>
      </c>
      <c r="J270" s="14" t="s">
        <v>16</v>
      </c>
      <c r="K270" s="14">
        <v>8</v>
      </c>
      <c r="L270" s="14">
        <v>5</v>
      </c>
      <c r="M270" s="15">
        <f t="shared" si="36"/>
        <v>188</v>
      </c>
      <c r="N270" s="15">
        <f t="shared" si="37"/>
        <v>62.666666666666664</v>
      </c>
      <c r="O270" s="14" t="str">
        <f t="shared" si="38"/>
        <v>Good</v>
      </c>
      <c r="P270" s="15">
        <f t="shared" si="39"/>
        <v>31.333333333333332</v>
      </c>
      <c r="Q270" s="14" t="str">
        <f t="shared" si="40"/>
        <v>No</v>
      </c>
      <c r="R270" s="14" t="str">
        <f t="shared" si="41"/>
        <v>Normal Students</v>
      </c>
      <c r="S270" s="14" t="str">
        <f t="shared" si="42"/>
        <v>Unbalanced Student</v>
      </c>
      <c r="T270" s="14" t="str">
        <f t="shared" si="43"/>
        <v>Medium</v>
      </c>
      <c r="U270" s="21" t="str">
        <f t="shared" si="44"/>
        <v>C</v>
      </c>
    </row>
    <row r="271" spans="2:21">
      <c r="B271" s="20">
        <v>268</v>
      </c>
      <c r="C271" s="14" t="s">
        <v>56</v>
      </c>
      <c r="D271" s="14" t="s">
        <v>15</v>
      </c>
      <c r="E271" s="14">
        <v>5</v>
      </c>
      <c r="F271" s="14">
        <v>92</v>
      </c>
      <c r="G271" s="14">
        <v>88</v>
      </c>
      <c r="H271" s="14">
        <v>90</v>
      </c>
      <c r="I271" s="14">
        <v>91</v>
      </c>
      <c r="J271" s="14" t="s">
        <v>13</v>
      </c>
      <c r="K271" s="14">
        <v>6</v>
      </c>
      <c r="L271" s="14">
        <v>2</v>
      </c>
      <c r="M271" s="15">
        <f t="shared" si="36"/>
        <v>269</v>
      </c>
      <c r="N271" s="15">
        <f t="shared" si="37"/>
        <v>89.666666666666671</v>
      </c>
      <c r="O271" s="14" t="str">
        <f t="shared" si="38"/>
        <v>Excellent</v>
      </c>
      <c r="P271" s="15">
        <f t="shared" si="39"/>
        <v>17.933333333333334</v>
      </c>
      <c r="Q271" s="14" t="str">
        <f t="shared" si="40"/>
        <v>No</v>
      </c>
      <c r="R271" s="14" t="str">
        <f t="shared" si="41"/>
        <v>Normal Students</v>
      </c>
      <c r="S271" s="14" t="str">
        <f t="shared" si="42"/>
        <v>Balanced Student</v>
      </c>
      <c r="T271" s="14" t="str">
        <f t="shared" si="43"/>
        <v>High</v>
      </c>
      <c r="U271" s="21" t="str">
        <f t="shared" si="44"/>
        <v>A</v>
      </c>
    </row>
    <row r="272" spans="2:21">
      <c r="B272" s="20">
        <v>269</v>
      </c>
      <c r="C272" s="14" t="s">
        <v>53</v>
      </c>
      <c r="D272" s="14" t="s">
        <v>12</v>
      </c>
      <c r="E272" s="14">
        <v>1</v>
      </c>
      <c r="F272" s="14">
        <v>62</v>
      </c>
      <c r="G272" s="14">
        <v>52</v>
      </c>
      <c r="H272" s="14">
        <v>50</v>
      </c>
      <c r="I272" s="14">
        <v>57</v>
      </c>
      <c r="J272" s="14" t="s">
        <v>16</v>
      </c>
      <c r="K272" s="14">
        <v>8</v>
      </c>
      <c r="L272" s="14">
        <v>6</v>
      </c>
      <c r="M272" s="15">
        <f t="shared" si="36"/>
        <v>159</v>
      </c>
      <c r="N272" s="15">
        <f t="shared" si="37"/>
        <v>53</v>
      </c>
      <c r="O272" s="14" t="str">
        <f t="shared" si="38"/>
        <v>Needs Improvement</v>
      </c>
      <c r="P272" s="15">
        <f t="shared" si="39"/>
        <v>53</v>
      </c>
      <c r="Q272" s="14" t="str">
        <f t="shared" si="40"/>
        <v>Yes</v>
      </c>
      <c r="R272" s="14" t="str">
        <f t="shared" si="41"/>
        <v>Normal Students</v>
      </c>
      <c r="S272" s="14" t="str">
        <f t="shared" si="42"/>
        <v>Unbalanced Student</v>
      </c>
      <c r="T272" s="14" t="str">
        <f t="shared" si="43"/>
        <v>Medium</v>
      </c>
      <c r="U272" s="21" t="str">
        <f t="shared" si="44"/>
        <v>D</v>
      </c>
    </row>
    <row r="273" spans="2:21">
      <c r="B273" s="20">
        <v>270</v>
      </c>
      <c r="C273" s="14" t="s">
        <v>117</v>
      </c>
      <c r="D273" s="14" t="s">
        <v>15</v>
      </c>
      <c r="E273" s="14">
        <v>4</v>
      </c>
      <c r="F273" s="14">
        <v>87</v>
      </c>
      <c r="G273" s="14">
        <v>83</v>
      </c>
      <c r="H273" s="14">
        <v>81</v>
      </c>
      <c r="I273" s="14">
        <v>85</v>
      </c>
      <c r="J273" s="14" t="s">
        <v>13</v>
      </c>
      <c r="K273" s="14">
        <v>6</v>
      </c>
      <c r="L273" s="14">
        <v>3</v>
      </c>
      <c r="M273" s="15">
        <f t="shared" si="36"/>
        <v>249</v>
      </c>
      <c r="N273" s="15">
        <f t="shared" si="37"/>
        <v>83</v>
      </c>
      <c r="O273" s="14" t="str">
        <f t="shared" si="38"/>
        <v>Excellent</v>
      </c>
      <c r="P273" s="15">
        <f t="shared" si="39"/>
        <v>20.75</v>
      </c>
      <c r="Q273" s="14" t="str">
        <f t="shared" si="40"/>
        <v>No</v>
      </c>
      <c r="R273" s="14" t="str">
        <f t="shared" si="41"/>
        <v>Normal Students</v>
      </c>
      <c r="S273" s="14" t="str">
        <f t="shared" si="42"/>
        <v>Balanced Student</v>
      </c>
      <c r="T273" s="14" t="str">
        <f t="shared" si="43"/>
        <v>High</v>
      </c>
      <c r="U273" s="21" t="str">
        <f t="shared" si="44"/>
        <v>A</v>
      </c>
    </row>
    <row r="274" spans="2:21">
      <c r="B274" s="20">
        <v>271</v>
      </c>
      <c r="C274" s="14" t="s">
        <v>33</v>
      </c>
      <c r="D274" s="14" t="s">
        <v>12</v>
      </c>
      <c r="E274" s="14">
        <v>3</v>
      </c>
      <c r="F274" s="14">
        <v>82</v>
      </c>
      <c r="G274" s="14">
        <v>76</v>
      </c>
      <c r="H274" s="14">
        <v>75</v>
      </c>
      <c r="I274" s="14">
        <v>80</v>
      </c>
      <c r="J274" s="14" t="s">
        <v>16</v>
      </c>
      <c r="K274" s="14">
        <v>7</v>
      </c>
      <c r="L274" s="14">
        <v>4</v>
      </c>
      <c r="M274" s="15">
        <f t="shared" si="36"/>
        <v>231</v>
      </c>
      <c r="N274" s="15">
        <f t="shared" si="37"/>
        <v>77</v>
      </c>
      <c r="O274" s="14" t="str">
        <f t="shared" si="38"/>
        <v>Good</v>
      </c>
      <c r="P274" s="15">
        <f t="shared" si="39"/>
        <v>25.666666666666668</v>
      </c>
      <c r="Q274" s="14" t="str">
        <f t="shared" si="40"/>
        <v>No</v>
      </c>
      <c r="R274" s="14" t="str">
        <f t="shared" si="41"/>
        <v>Normal Students</v>
      </c>
      <c r="S274" s="14" t="str">
        <f t="shared" si="42"/>
        <v>Unbalanced Student</v>
      </c>
      <c r="T274" s="14" t="str">
        <f t="shared" si="43"/>
        <v>High</v>
      </c>
      <c r="U274" s="21" t="str">
        <f t="shared" si="44"/>
        <v>B</v>
      </c>
    </row>
    <row r="275" spans="2:21">
      <c r="B275" s="20">
        <v>272</v>
      </c>
      <c r="C275" s="14" t="s">
        <v>52</v>
      </c>
      <c r="D275" s="14" t="s">
        <v>15</v>
      </c>
      <c r="E275" s="14">
        <v>4</v>
      </c>
      <c r="F275" s="14">
        <v>85</v>
      </c>
      <c r="G275" s="14">
        <v>80</v>
      </c>
      <c r="H275" s="14">
        <v>82</v>
      </c>
      <c r="I275" s="14">
        <v>84</v>
      </c>
      <c r="J275" s="14" t="s">
        <v>13</v>
      </c>
      <c r="K275" s="14">
        <v>7</v>
      </c>
      <c r="L275" s="14">
        <v>3</v>
      </c>
      <c r="M275" s="15">
        <f t="shared" si="36"/>
        <v>246</v>
      </c>
      <c r="N275" s="15">
        <f t="shared" si="37"/>
        <v>82</v>
      </c>
      <c r="O275" s="14" t="str">
        <f t="shared" si="38"/>
        <v>Excellent</v>
      </c>
      <c r="P275" s="15">
        <f t="shared" si="39"/>
        <v>20.5</v>
      </c>
      <c r="Q275" s="14" t="str">
        <f t="shared" si="40"/>
        <v>No</v>
      </c>
      <c r="R275" s="14" t="str">
        <f t="shared" si="41"/>
        <v>Normal Students</v>
      </c>
      <c r="S275" s="14" t="str">
        <f t="shared" si="42"/>
        <v>Balanced Student</v>
      </c>
      <c r="T275" s="14" t="str">
        <f t="shared" si="43"/>
        <v>High</v>
      </c>
      <c r="U275" s="21" t="str">
        <f t="shared" si="44"/>
        <v>A</v>
      </c>
    </row>
    <row r="276" spans="2:21">
      <c r="B276" s="20">
        <v>273</v>
      </c>
      <c r="C276" s="14" t="s">
        <v>47</v>
      </c>
      <c r="D276" s="14" t="s">
        <v>12</v>
      </c>
      <c r="E276" s="14">
        <v>6</v>
      </c>
      <c r="F276" s="14">
        <v>94</v>
      </c>
      <c r="G276" s="14">
        <v>91</v>
      </c>
      <c r="H276" s="14">
        <v>90</v>
      </c>
      <c r="I276" s="14">
        <v>92</v>
      </c>
      <c r="J276" s="14" t="s">
        <v>16</v>
      </c>
      <c r="K276" s="14">
        <v>6</v>
      </c>
      <c r="L276" s="14">
        <v>2</v>
      </c>
      <c r="M276" s="15">
        <f t="shared" si="36"/>
        <v>273</v>
      </c>
      <c r="N276" s="15">
        <f t="shared" si="37"/>
        <v>91</v>
      </c>
      <c r="O276" s="14" t="str">
        <f t="shared" si="38"/>
        <v>Excellent</v>
      </c>
      <c r="P276" s="15">
        <f t="shared" si="39"/>
        <v>15.166666666666666</v>
      </c>
      <c r="Q276" s="14" t="str">
        <f t="shared" si="40"/>
        <v>No</v>
      </c>
      <c r="R276" s="14" t="str">
        <f t="shared" si="41"/>
        <v>Normal Students</v>
      </c>
      <c r="S276" s="14" t="str">
        <f t="shared" si="42"/>
        <v>Balanced Student</v>
      </c>
      <c r="T276" s="14" t="str">
        <f t="shared" si="43"/>
        <v>High</v>
      </c>
      <c r="U276" s="21" t="str">
        <f t="shared" si="44"/>
        <v>A</v>
      </c>
    </row>
    <row r="277" spans="2:21">
      <c r="B277" s="20">
        <v>274</v>
      </c>
      <c r="C277" s="14" t="s">
        <v>93</v>
      </c>
      <c r="D277" s="14" t="s">
        <v>15</v>
      </c>
      <c r="E277" s="14">
        <v>3</v>
      </c>
      <c r="F277" s="14">
        <v>79</v>
      </c>
      <c r="G277" s="14">
        <v>74</v>
      </c>
      <c r="H277" s="14">
        <v>72</v>
      </c>
      <c r="I277" s="14">
        <v>76</v>
      </c>
      <c r="J277" s="14" t="s">
        <v>13</v>
      </c>
      <c r="K277" s="14">
        <v>7</v>
      </c>
      <c r="L277" s="14">
        <v>4</v>
      </c>
      <c r="M277" s="15">
        <f t="shared" si="36"/>
        <v>222</v>
      </c>
      <c r="N277" s="15">
        <f t="shared" si="37"/>
        <v>74</v>
      </c>
      <c r="O277" s="14" t="str">
        <f t="shared" si="38"/>
        <v>Good</v>
      </c>
      <c r="P277" s="15">
        <f t="shared" si="39"/>
        <v>24.666666666666668</v>
      </c>
      <c r="Q277" s="14" t="str">
        <f t="shared" si="40"/>
        <v>No</v>
      </c>
      <c r="R277" s="14" t="str">
        <f t="shared" si="41"/>
        <v>Normal Students</v>
      </c>
      <c r="S277" s="14" t="str">
        <f t="shared" si="42"/>
        <v>Unbalanced Student</v>
      </c>
      <c r="T277" s="14" t="str">
        <f t="shared" si="43"/>
        <v>Medium</v>
      </c>
      <c r="U277" s="21" t="str">
        <f t="shared" si="44"/>
        <v>B</v>
      </c>
    </row>
    <row r="278" spans="2:21">
      <c r="B278" s="20">
        <v>275</v>
      </c>
      <c r="C278" s="14" t="s">
        <v>35</v>
      </c>
      <c r="D278" s="14" t="s">
        <v>12</v>
      </c>
      <c r="E278" s="14">
        <v>2</v>
      </c>
      <c r="F278" s="14">
        <v>70</v>
      </c>
      <c r="G278" s="14">
        <v>62</v>
      </c>
      <c r="H278" s="14">
        <v>60</v>
      </c>
      <c r="I278" s="14">
        <v>66</v>
      </c>
      <c r="J278" s="14" t="s">
        <v>16</v>
      </c>
      <c r="K278" s="14">
        <v>8</v>
      </c>
      <c r="L278" s="14">
        <v>5</v>
      </c>
      <c r="M278" s="15">
        <f t="shared" si="36"/>
        <v>188</v>
      </c>
      <c r="N278" s="15">
        <f t="shared" si="37"/>
        <v>62.666666666666664</v>
      </c>
      <c r="O278" s="14" t="str">
        <f t="shared" si="38"/>
        <v>Good</v>
      </c>
      <c r="P278" s="15">
        <f t="shared" si="39"/>
        <v>31.333333333333332</v>
      </c>
      <c r="Q278" s="14" t="str">
        <f t="shared" si="40"/>
        <v>No</v>
      </c>
      <c r="R278" s="14" t="str">
        <f t="shared" si="41"/>
        <v>Normal Students</v>
      </c>
      <c r="S278" s="14" t="str">
        <f t="shared" si="42"/>
        <v>Unbalanced Student</v>
      </c>
      <c r="T278" s="14" t="str">
        <f t="shared" si="43"/>
        <v>Medium</v>
      </c>
      <c r="U278" s="21" t="str">
        <f t="shared" si="44"/>
        <v>C</v>
      </c>
    </row>
    <row r="279" spans="2:21">
      <c r="B279" s="20">
        <v>276</v>
      </c>
      <c r="C279" s="14" t="s">
        <v>26</v>
      </c>
      <c r="D279" s="14" t="s">
        <v>15</v>
      </c>
      <c r="E279" s="14">
        <v>5</v>
      </c>
      <c r="F279" s="14">
        <v>90</v>
      </c>
      <c r="G279" s="14">
        <v>86</v>
      </c>
      <c r="H279" s="14">
        <v>88</v>
      </c>
      <c r="I279" s="14">
        <v>89</v>
      </c>
      <c r="J279" s="14" t="s">
        <v>13</v>
      </c>
      <c r="K279" s="14">
        <v>6</v>
      </c>
      <c r="L279" s="14">
        <v>2</v>
      </c>
      <c r="M279" s="15">
        <f t="shared" si="36"/>
        <v>263</v>
      </c>
      <c r="N279" s="15">
        <f t="shared" si="37"/>
        <v>87.666666666666671</v>
      </c>
      <c r="O279" s="14" t="str">
        <f t="shared" si="38"/>
        <v>Excellent</v>
      </c>
      <c r="P279" s="15">
        <f t="shared" si="39"/>
        <v>17.533333333333335</v>
      </c>
      <c r="Q279" s="14" t="str">
        <f t="shared" si="40"/>
        <v>No</v>
      </c>
      <c r="R279" s="14" t="str">
        <f t="shared" si="41"/>
        <v>Normal Students</v>
      </c>
      <c r="S279" s="14" t="str">
        <f t="shared" si="42"/>
        <v>Balanced Student</v>
      </c>
      <c r="T279" s="14" t="str">
        <f t="shared" si="43"/>
        <v>High</v>
      </c>
      <c r="U279" s="21" t="str">
        <f t="shared" si="44"/>
        <v>A</v>
      </c>
    </row>
    <row r="280" spans="2:21">
      <c r="B280" s="20">
        <v>277</v>
      </c>
      <c r="C280" s="14" t="s">
        <v>27</v>
      </c>
      <c r="D280" s="14" t="s">
        <v>12</v>
      </c>
      <c r="E280" s="14">
        <v>3</v>
      </c>
      <c r="F280" s="14">
        <v>80</v>
      </c>
      <c r="G280" s="14">
        <v>75</v>
      </c>
      <c r="H280" s="14">
        <v>73</v>
      </c>
      <c r="I280" s="14">
        <v>78</v>
      </c>
      <c r="J280" s="14" t="s">
        <v>13</v>
      </c>
      <c r="K280" s="14">
        <v>7</v>
      </c>
      <c r="L280" s="14">
        <v>4</v>
      </c>
      <c r="M280" s="15">
        <f t="shared" si="36"/>
        <v>226</v>
      </c>
      <c r="N280" s="15">
        <f t="shared" si="37"/>
        <v>75.333333333333329</v>
      </c>
      <c r="O280" s="14" t="str">
        <f t="shared" si="38"/>
        <v>Good</v>
      </c>
      <c r="P280" s="15">
        <f t="shared" si="39"/>
        <v>25.111111111111111</v>
      </c>
      <c r="Q280" s="14" t="str">
        <f t="shared" si="40"/>
        <v>No</v>
      </c>
      <c r="R280" s="14" t="str">
        <f t="shared" si="41"/>
        <v>Normal Students</v>
      </c>
      <c r="S280" s="14" t="str">
        <f t="shared" si="42"/>
        <v>Unbalanced Student</v>
      </c>
      <c r="T280" s="14" t="str">
        <f t="shared" si="43"/>
        <v>High</v>
      </c>
      <c r="U280" s="21" t="str">
        <f t="shared" si="44"/>
        <v>B</v>
      </c>
    </row>
    <row r="281" spans="2:21">
      <c r="B281" s="20">
        <v>278</v>
      </c>
      <c r="C281" s="14" t="s">
        <v>64</v>
      </c>
      <c r="D281" s="14" t="s">
        <v>15</v>
      </c>
      <c r="E281" s="14">
        <v>4</v>
      </c>
      <c r="F281" s="14">
        <v>87</v>
      </c>
      <c r="G281" s="14">
        <v>83</v>
      </c>
      <c r="H281" s="14">
        <v>81</v>
      </c>
      <c r="I281" s="14">
        <v>85</v>
      </c>
      <c r="J281" s="14" t="s">
        <v>13</v>
      </c>
      <c r="K281" s="14">
        <v>6</v>
      </c>
      <c r="L281" s="14">
        <v>3</v>
      </c>
      <c r="M281" s="15">
        <f t="shared" si="36"/>
        <v>249</v>
      </c>
      <c r="N281" s="15">
        <f t="shared" si="37"/>
        <v>83</v>
      </c>
      <c r="O281" s="14" t="str">
        <f t="shared" si="38"/>
        <v>Excellent</v>
      </c>
      <c r="P281" s="15">
        <f t="shared" si="39"/>
        <v>20.75</v>
      </c>
      <c r="Q281" s="14" t="str">
        <f t="shared" si="40"/>
        <v>No</v>
      </c>
      <c r="R281" s="14" t="str">
        <f t="shared" si="41"/>
        <v>Normal Students</v>
      </c>
      <c r="S281" s="14" t="str">
        <f t="shared" si="42"/>
        <v>Balanced Student</v>
      </c>
      <c r="T281" s="14" t="str">
        <f t="shared" si="43"/>
        <v>High</v>
      </c>
      <c r="U281" s="21" t="str">
        <f t="shared" si="44"/>
        <v>A</v>
      </c>
    </row>
    <row r="282" spans="2:21">
      <c r="B282" s="20">
        <v>279</v>
      </c>
      <c r="C282" s="14" t="s">
        <v>29</v>
      </c>
      <c r="D282" s="14" t="s">
        <v>12</v>
      </c>
      <c r="E282" s="14">
        <v>2</v>
      </c>
      <c r="F282" s="14">
        <v>68</v>
      </c>
      <c r="G282" s="14">
        <v>60</v>
      </c>
      <c r="H282" s="14">
        <v>58</v>
      </c>
      <c r="I282" s="14">
        <v>64</v>
      </c>
      <c r="J282" s="14" t="s">
        <v>16</v>
      </c>
      <c r="K282" s="14">
        <v>8</v>
      </c>
      <c r="L282" s="14">
        <v>5</v>
      </c>
      <c r="M282" s="15">
        <f t="shared" si="36"/>
        <v>182</v>
      </c>
      <c r="N282" s="15">
        <f t="shared" si="37"/>
        <v>60.666666666666664</v>
      </c>
      <c r="O282" s="14" t="str">
        <f t="shared" si="38"/>
        <v>Good</v>
      </c>
      <c r="P282" s="15">
        <f t="shared" si="39"/>
        <v>30.333333333333332</v>
      </c>
      <c r="Q282" s="14" t="str">
        <f t="shared" si="40"/>
        <v>No</v>
      </c>
      <c r="R282" s="14" t="str">
        <f t="shared" si="41"/>
        <v>Normal Students</v>
      </c>
      <c r="S282" s="14" t="str">
        <f t="shared" si="42"/>
        <v>Unbalanced Student</v>
      </c>
      <c r="T282" s="14" t="str">
        <f t="shared" si="43"/>
        <v>Medium</v>
      </c>
      <c r="U282" s="21" t="str">
        <f t="shared" si="44"/>
        <v>C</v>
      </c>
    </row>
    <row r="283" spans="2:21">
      <c r="B283" s="20">
        <v>280</v>
      </c>
      <c r="C283" s="14" t="s">
        <v>62</v>
      </c>
      <c r="D283" s="14" t="s">
        <v>15</v>
      </c>
      <c r="E283" s="14">
        <v>5</v>
      </c>
      <c r="F283" s="14">
        <v>92</v>
      </c>
      <c r="G283" s="14">
        <v>88</v>
      </c>
      <c r="H283" s="14">
        <v>90</v>
      </c>
      <c r="I283" s="14">
        <v>91</v>
      </c>
      <c r="J283" s="14" t="s">
        <v>13</v>
      </c>
      <c r="K283" s="14">
        <v>6</v>
      </c>
      <c r="L283" s="14">
        <v>2</v>
      </c>
      <c r="M283" s="15">
        <f t="shared" si="36"/>
        <v>269</v>
      </c>
      <c r="N283" s="15">
        <f t="shared" si="37"/>
        <v>89.666666666666671</v>
      </c>
      <c r="O283" s="14" t="str">
        <f t="shared" si="38"/>
        <v>Excellent</v>
      </c>
      <c r="P283" s="15">
        <f t="shared" si="39"/>
        <v>17.933333333333334</v>
      </c>
      <c r="Q283" s="14" t="str">
        <f t="shared" si="40"/>
        <v>No</v>
      </c>
      <c r="R283" s="14" t="str">
        <f t="shared" si="41"/>
        <v>Normal Students</v>
      </c>
      <c r="S283" s="14" t="str">
        <f t="shared" si="42"/>
        <v>Balanced Student</v>
      </c>
      <c r="T283" s="14" t="str">
        <f t="shared" si="43"/>
        <v>High</v>
      </c>
      <c r="U283" s="21" t="str">
        <f t="shared" si="44"/>
        <v>A</v>
      </c>
    </row>
    <row r="284" spans="2:21">
      <c r="B284" s="20">
        <v>281</v>
      </c>
      <c r="C284" s="14" t="s">
        <v>49</v>
      </c>
      <c r="D284" s="14" t="s">
        <v>12</v>
      </c>
      <c r="E284" s="14">
        <v>3</v>
      </c>
      <c r="F284" s="14">
        <v>78</v>
      </c>
      <c r="G284" s="14">
        <v>72</v>
      </c>
      <c r="H284" s="14">
        <v>70</v>
      </c>
      <c r="I284" s="14">
        <v>75</v>
      </c>
      <c r="J284" s="14" t="s">
        <v>13</v>
      </c>
      <c r="K284" s="14">
        <v>7</v>
      </c>
      <c r="L284" s="14">
        <v>4</v>
      </c>
      <c r="M284" s="15">
        <f t="shared" si="36"/>
        <v>217</v>
      </c>
      <c r="N284" s="15">
        <f t="shared" si="37"/>
        <v>72.333333333333329</v>
      </c>
      <c r="O284" s="14" t="str">
        <f t="shared" si="38"/>
        <v>Good</v>
      </c>
      <c r="P284" s="15">
        <f t="shared" si="39"/>
        <v>24.111111111111111</v>
      </c>
      <c r="Q284" s="14" t="str">
        <f t="shared" si="40"/>
        <v>No</v>
      </c>
      <c r="R284" s="14" t="str">
        <f t="shared" si="41"/>
        <v>Normal Students</v>
      </c>
      <c r="S284" s="14" t="str">
        <f t="shared" si="42"/>
        <v>Unbalanced Student</v>
      </c>
      <c r="T284" s="14" t="str">
        <f t="shared" si="43"/>
        <v>Medium</v>
      </c>
      <c r="U284" s="21" t="str">
        <f t="shared" si="44"/>
        <v>B</v>
      </c>
    </row>
    <row r="285" spans="2:21">
      <c r="B285" s="20">
        <v>282</v>
      </c>
      <c r="C285" s="14" t="s">
        <v>38</v>
      </c>
      <c r="D285" s="14" t="s">
        <v>15</v>
      </c>
      <c r="E285" s="14">
        <v>4</v>
      </c>
      <c r="F285" s="14">
        <v>85</v>
      </c>
      <c r="G285" s="14">
        <v>80</v>
      </c>
      <c r="H285" s="14">
        <v>82</v>
      </c>
      <c r="I285" s="14">
        <v>84</v>
      </c>
      <c r="J285" s="14" t="s">
        <v>13</v>
      </c>
      <c r="K285" s="14">
        <v>7</v>
      </c>
      <c r="L285" s="14">
        <v>3</v>
      </c>
      <c r="M285" s="15">
        <f t="shared" si="36"/>
        <v>246</v>
      </c>
      <c r="N285" s="15">
        <f t="shared" si="37"/>
        <v>82</v>
      </c>
      <c r="O285" s="14" t="str">
        <f t="shared" si="38"/>
        <v>Excellent</v>
      </c>
      <c r="P285" s="15">
        <f t="shared" si="39"/>
        <v>20.5</v>
      </c>
      <c r="Q285" s="14" t="str">
        <f t="shared" si="40"/>
        <v>No</v>
      </c>
      <c r="R285" s="14" t="str">
        <f t="shared" si="41"/>
        <v>Normal Students</v>
      </c>
      <c r="S285" s="14" t="str">
        <f t="shared" si="42"/>
        <v>Balanced Student</v>
      </c>
      <c r="T285" s="14" t="str">
        <f t="shared" si="43"/>
        <v>High</v>
      </c>
      <c r="U285" s="21" t="str">
        <f t="shared" si="44"/>
        <v>A</v>
      </c>
    </row>
    <row r="286" spans="2:21">
      <c r="B286" s="20">
        <v>283</v>
      </c>
      <c r="C286" s="14" t="s">
        <v>164</v>
      </c>
      <c r="D286" s="14" t="s">
        <v>12</v>
      </c>
      <c r="E286" s="14">
        <v>6</v>
      </c>
      <c r="F286" s="14">
        <v>94</v>
      </c>
      <c r="G286" s="14">
        <v>91</v>
      </c>
      <c r="H286" s="14">
        <v>90</v>
      </c>
      <c r="I286" s="14">
        <v>92</v>
      </c>
      <c r="J286" s="14" t="s">
        <v>16</v>
      </c>
      <c r="K286" s="14">
        <v>6</v>
      </c>
      <c r="L286" s="14">
        <v>2</v>
      </c>
      <c r="M286" s="15">
        <f t="shared" si="36"/>
        <v>273</v>
      </c>
      <c r="N286" s="15">
        <f t="shared" si="37"/>
        <v>91</v>
      </c>
      <c r="O286" s="14" t="str">
        <f t="shared" si="38"/>
        <v>Excellent</v>
      </c>
      <c r="P286" s="15">
        <f t="shared" si="39"/>
        <v>15.166666666666666</v>
      </c>
      <c r="Q286" s="14" t="str">
        <f t="shared" si="40"/>
        <v>No</v>
      </c>
      <c r="R286" s="14" t="str">
        <f t="shared" si="41"/>
        <v>Normal Students</v>
      </c>
      <c r="S286" s="14" t="str">
        <f t="shared" si="42"/>
        <v>Balanced Student</v>
      </c>
      <c r="T286" s="14" t="str">
        <f t="shared" si="43"/>
        <v>High</v>
      </c>
      <c r="U286" s="21" t="str">
        <f t="shared" si="44"/>
        <v>A</v>
      </c>
    </row>
    <row r="287" spans="2:21">
      <c r="B287" s="20">
        <v>284</v>
      </c>
      <c r="C287" s="14" t="s">
        <v>36</v>
      </c>
      <c r="D287" s="14" t="s">
        <v>15</v>
      </c>
      <c r="E287" s="14">
        <v>3</v>
      </c>
      <c r="F287" s="14">
        <v>79</v>
      </c>
      <c r="G287" s="14">
        <v>74</v>
      </c>
      <c r="H287" s="14">
        <v>72</v>
      </c>
      <c r="I287" s="14">
        <v>76</v>
      </c>
      <c r="J287" s="14" t="s">
        <v>13</v>
      </c>
      <c r="K287" s="14">
        <v>7</v>
      </c>
      <c r="L287" s="14">
        <v>4</v>
      </c>
      <c r="M287" s="15">
        <f t="shared" si="36"/>
        <v>222</v>
      </c>
      <c r="N287" s="15">
        <f t="shared" si="37"/>
        <v>74</v>
      </c>
      <c r="O287" s="14" t="str">
        <f t="shared" si="38"/>
        <v>Good</v>
      </c>
      <c r="P287" s="15">
        <f t="shared" si="39"/>
        <v>24.666666666666668</v>
      </c>
      <c r="Q287" s="14" t="str">
        <f t="shared" si="40"/>
        <v>No</v>
      </c>
      <c r="R287" s="14" t="str">
        <f t="shared" si="41"/>
        <v>Normal Students</v>
      </c>
      <c r="S287" s="14" t="str">
        <f t="shared" si="42"/>
        <v>Unbalanced Student</v>
      </c>
      <c r="T287" s="14" t="str">
        <f t="shared" si="43"/>
        <v>Medium</v>
      </c>
      <c r="U287" s="21" t="str">
        <f t="shared" si="44"/>
        <v>B</v>
      </c>
    </row>
    <row r="288" spans="2:21">
      <c r="B288" s="20">
        <v>285</v>
      </c>
      <c r="C288" s="14" t="s">
        <v>23</v>
      </c>
      <c r="D288" s="14" t="s">
        <v>12</v>
      </c>
      <c r="E288" s="14">
        <v>2</v>
      </c>
      <c r="F288" s="14">
        <v>70</v>
      </c>
      <c r="G288" s="14">
        <v>62</v>
      </c>
      <c r="H288" s="14">
        <v>60</v>
      </c>
      <c r="I288" s="14">
        <v>66</v>
      </c>
      <c r="J288" s="14" t="s">
        <v>16</v>
      </c>
      <c r="K288" s="14">
        <v>8</v>
      </c>
      <c r="L288" s="14">
        <v>5</v>
      </c>
      <c r="M288" s="15">
        <f t="shared" si="36"/>
        <v>188</v>
      </c>
      <c r="N288" s="15">
        <f t="shared" si="37"/>
        <v>62.666666666666664</v>
      </c>
      <c r="O288" s="14" t="str">
        <f t="shared" si="38"/>
        <v>Good</v>
      </c>
      <c r="P288" s="15">
        <f t="shared" si="39"/>
        <v>31.333333333333332</v>
      </c>
      <c r="Q288" s="14" t="str">
        <f t="shared" si="40"/>
        <v>No</v>
      </c>
      <c r="R288" s="14" t="str">
        <f t="shared" si="41"/>
        <v>Normal Students</v>
      </c>
      <c r="S288" s="14" t="str">
        <f t="shared" si="42"/>
        <v>Unbalanced Student</v>
      </c>
      <c r="T288" s="14" t="str">
        <f t="shared" si="43"/>
        <v>Medium</v>
      </c>
      <c r="U288" s="21" t="str">
        <f t="shared" si="44"/>
        <v>C</v>
      </c>
    </row>
    <row r="289" spans="2:21">
      <c r="B289" s="20">
        <v>286</v>
      </c>
      <c r="C289" s="14" t="s">
        <v>58</v>
      </c>
      <c r="D289" s="14" t="s">
        <v>15</v>
      </c>
      <c r="E289" s="14">
        <v>5</v>
      </c>
      <c r="F289" s="14">
        <v>90</v>
      </c>
      <c r="G289" s="14">
        <v>86</v>
      </c>
      <c r="H289" s="14">
        <v>88</v>
      </c>
      <c r="I289" s="14">
        <v>89</v>
      </c>
      <c r="J289" s="14" t="s">
        <v>13</v>
      </c>
      <c r="K289" s="14">
        <v>6</v>
      </c>
      <c r="L289" s="14">
        <v>2</v>
      </c>
      <c r="M289" s="15">
        <f t="shared" si="36"/>
        <v>263</v>
      </c>
      <c r="N289" s="15">
        <f t="shared" si="37"/>
        <v>87.666666666666671</v>
      </c>
      <c r="O289" s="14" t="str">
        <f t="shared" si="38"/>
        <v>Excellent</v>
      </c>
      <c r="P289" s="15">
        <f t="shared" si="39"/>
        <v>17.533333333333335</v>
      </c>
      <c r="Q289" s="14" t="str">
        <f t="shared" si="40"/>
        <v>No</v>
      </c>
      <c r="R289" s="14" t="str">
        <f t="shared" si="41"/>
        <v>Normal Students</v>
      </c>
      <c r="S289" s="14" t="str">
        <f t="shared" si="42"/>
        <v>Balanced Student</v>
      </c>
      <c r="T289" s="14" t="str">
        <f t="shared" si="43"/>
        <v>High</v>
      </c>
      <c r="U289" s="21" t="str">
        <f t="shared" si="44"/>
        <v>A</v>
      </c>
    </row>
    <row r="290" spans="2:21">
      <c r="B290" s="20">
        <v>287</v>
      </c>
      <c r="C290" s="14" t="s">
        <v>59</v>
      </c>
      <c r="D290" s="14" t="s">
        <v>12</v>
      </c>
      <c r="E290" s="14">
        <v>3</v>
      </c>
      <c r="F290" s="14">
        <v>82</v>
      </c>
      <c r="G290" s="14">
        <v>76</v>
      </c>
      <c r="H290" s="14">
        <v>75</v>
      </c>
      <c r="I290" s="14">
        <v>80</v>
      </c>
      <c r="J290" s="14" t="s">
        <v>16</v>
      </c>
      <c r="K290" s="14">
        <v>7</v>
      </c>
      <c r="L290" s="14">
        <v>4</v>
      </c>
      <c r="M290" s="15">
        <f t="shared" si="36"/>
        <v>231</v>
      </c>
      <c r="N290" s="15">
        <f t="shared" si="37"/>
        <v>77</v>
      </c>
      <c r="O290" s="14" t="str">
        <f t="shared" si="38"/>
        <v>Good</v>
      </c>
      <c r="P290" s="15">
        <f t="shared" si="39"/>
        <v>25.666666666666668</v>
      </c>
      <c r="Q290" s="14" t="str">
        <f t="shared" si="40"/>
        <v>No</v>
      </c>
      <c r="R290" s="14" t="str">
        <f t="shared" si="41"/>
        <v>Normal Students</v>
      </c>
      <c r="S290" s="14" t="str">
        <f t="shared" si="42"/>
        <v>Unbalanced Student</v>
      </c>
      <c r="T290" s="14" t="str">
        <f t="shared" si="43"/>
        <v>High</v>
      </c>
      <c r="U290" s="21" t="str">
        <f t="shared" si="44"/>
        <v>B</v>
      </c>
    </row>
    <row r="291" spans="2:21">
      <c r="B291" s="20">
        <v>288</v>
      </c>
      <c r="C291" s="14" t="s">
        <v>32</v>
      </c>
      <c r="D291" s="14" t="s">
        <v>15</v>
      </c>
      <c r="E291" s="14">
        <v>4</v>
      </c>
      <c r="F291" s="14">
        <v>87</v>
      </c>
      <c r="G291" s="14">
        <v>83</v>
      </c>
      <c r="H291" s="14">
        <v>81</v>
      </c>
      <c r="I291" s="14">
        <v>85</v>
      </c>
      <c r="J291" s="14" t="s">
        <v>13</v>
      </c>
      <c r="K291" s="14">
        <v>6</v>
      </c>
      <c r="L291" s="14">
        <v>3</v>
      </c>
      <c r="M291" s="15">
        <f t="shared" si="36"/>
        <v>249</v>
      </c>
      <c r="N291" s="15">
        <f t="shared" si="37"/>
        <v>83</v>
      </c>
      <c r="O291" s="14" t="str">
        <f t="shared" si="38"/>
        <v>Excellent</v>
      </c>
      <c r="P291" s="15">
        <f t="shared" si="39"/>
        <v>20.75</v>
      </c>
      <c r="Q291" s="14" t="str">
        <f t="shared" si="40"/>
        <v>No</v>
      </c>
      <c r="R291" s="14" t="str">
        <f t="shared" si="41"/>
        <v>Normal Students</v>
      </c>
      <c r="S291" s="14" t="str">
        <f t="shared" si="42"/>
        <v>Balanced Student</v>
      </c>
      <c r="T291" s="14" t="str">
        <f t="shared" si="43"/>
        <v>High</v>
      </c>
      <c r="U291" s="21" t="str">
        <f t="shared" si="44"/>
        <v>A</v>
      </c>
    </row>
    <row r="292" spans="2:21">
      <c r="B292" s="20">
        <v>289</v>
      </c>
      <c r="C292" s="14" t="s">
        <v>45</v>
      </c>
      <c r="D292" s="14" t="s">
        <v>12</v>
      </c>
      <c r="E292" s="14">
        <v>2</v>
      </c>
      <c r="F292" s="14">
        <v>68</v>
      </c>
      <c r="G292" s="14">
        <v>60</v>
      </c>
      <c r="H292" s="14">
        <v>58</v>
      </c>
      <c r="I292" s="14">
        <v>64</v>
      </c>
      <c r="J292" s="14" t="s">
        <v>16</v>
      </c>
      <c r="K292" s="14">
        <v>8</v>
      </c>
      <c r="L292" s="14">
        <v>5</v>
      </c>
      <c r="M292" s="15">
        <f t="shared" si="36"/>
        <v>182</v>
      </c>
      <c r="N292" s="15">
        <f t="shared" si="37"/>
        <v>60.666666666666664</v>
      </c>
      <c r="O292" s="14" t="str">
        <f t="shared" si="38"/>
        <v>Good</v>
      </c>
      <c r="P292" s="15">
        <f t="shared" si="39"/>
        <v>30.333333333333332</v>
      </c>
      <c r="Q292" s="14" t="str">
        <f t="shared" si="40"/>
        <v>No</v>
      </c>
      <c r="R292" s="14" t="str">
        <f t="shared" si="41"/>
        <v>Normal Students</v>
      </c>
      <c r="S292" s="14" t="str">
        <f t="shared" si="42"/>
        <v>Unbalanced Student</v>
      </c>
      <c r="T292" s="14" t="str">
        <f t="shared" si="43"/>
        <v>Medium</v>
      </c>
      <c r="U292" s="21" t="str">
        <f t="shared" si="44"/>
        <v>C</v>
      </c>
    </row>
    <row r="293" spans="2:21">
      <c r="B293" s="20">
        <v>290</v>
      </c>
      <c r="C293" s="14" t="s">
        <v>155</v>
      </c>
      <c r="D293" s="14" t="s">
        <v>15</v>
      </c>
      <c r="E293" s="14">
        <v>5</v>
      </c>
      <c r="F293" s="14">
        <v>92</v>
      </c>
      <c r="G293" s="14">
        <v>88</v>
      </c>
      <c r="H293" s="14">
        <v>90</v>
      </c>
      <c r="I293" s="14">
        <v>91</v>
      </c>
      <c r="J293" s="14" t="s">
        <v>13</v>
      </c>
      <c r="K293" s="14">
        <v>6</v>
      </c>
      <c r="L293" s="14">
        <v>2</v>
      </c>
      <c r="M293" s="15">
        <f t="shared" si="36"/>
        <v>269</v>
      </c>
      <c r="N293" s="15">
        <f t="shared" si="37"/>
        <v>89.666666666666671</v>
      </c>
      <c r="O293" s="14" t="str">
        <f t="shared" si="38"/>
        <v>Excellent</v>
      </c>
      <c r="P293" s="15">
        <f t="shared" si="39"/>
        <v>17.933333333333334</v>
      </c>
      <c r="Q293" s="14" t="str">
        <f t="shared" si="40"/>
        <v>No</v>
      </c>
      <c r="R293" s="14" t="str">
        <f t="shared" si="41"/>
        <v>Normal Students</v>
      </c>
      <c r="S293" s="14" t="str">
        <f t="shared" si="42"/>
        <v>Balanced Student</v>
      </c>
      <c r="T293" s="14" t="str">
        <f t="shared" si="43"/>
        <v>High</v>
      </c>
      <c r="U293" s="21" t="str">
        <f t="shared" si="44"/>
        <v>A</v>
      </c>
    </row>
    <row r="294" spans="2:21">
      <c r="B294" s="20">
        <v>291</v>
      </c>
      <c r="C294" s="14" t="s">
        <v>63</v>
      </c>
      <c r="D294" s="14" t="s">
        <v>12</v>
      </c>
      <c r="E294" s="14">
        <v>3</v>
      </c>
      <c r="F294" s="14">
        <v>78</v>
      </c>
      <c r="G294" s="14">
        <v>72</v>
      </c>
      <c r="H294" s="14">
        <v>70</v>
      </c>
      <c r="I294" s="14">
        <v>75</v>
      </c>
      <c r="J294" s="14" t="s">
        <v>13</v>
      </c>
      <c r="K294" s="14">
        <v>7</v>
      </c>
      <c r="L294" s="14">
        <v>4</v>
      </c>
      <c r="M294" s="15">
        <f t="shared" si="36"/>
        <v>217</v>
      </c>
      <c r="N294" s="15">
        <f t="shared" si="37"/>
        <v>72.333333333333329</v>
      </c>
      <c r="O294" s="14" t="str">
        <f t="shared" si="38"/>
        <v>Good</v>
      </c>
      <c r="P294" s="15">
        <f t="shared" si="39"/>
        <v>24.111111111111111</v>
      </c>
      <c r="Q294" s="14" t="str">
        <f t="shared" si="40"/>
        <v>No</v>
      </c>
      <c r="R294" s="14" t="str">
        <f t="shared" si="41"/>
        <v>Normal Students</v>
      </c>
      <c r="S294" s="14" t="str">
        <f t="shared" si="42"/>
        <v>Unbalanced Student</v>
      </c>
      <c r="T294" s="14" t="str">
        <f t="shared" si="43"/>
        <v>Medium</v>
      </c>
      <c r="U294" s="21" t="str">
        <f t="shared" si="44"/>
        <v>B</v>
      </c>
    </row>
    <row r="295" spans="2:21">
      <c r="B295" s="20">
        <v>292</v>
      </c>
      <c r="C295" s="14" t="s">
        <v>72</v>
      </c>
      <c r="D295" s="14" t="s">
        <v>12</v>
      </c>
      <c r="E295" s="14">
        <v>4</v>
      </c>
      <c r="F295" s="14">
        <v>85</v>
      </c>
      <c r="G295" s="14">
        <v>80</v>
      </c>
      <c r="H295" s="14">
        <v>82</v>
      </c>
      <c r="I295" s="14">
        <v>84</v>
      </c>
      <c r="J295" s="14" t="s">
        <v>13</v>
      </c>
      <c r="K295" s="14">
        <v>7</v>
      </c>
      <c r="L295" s="14">
        <v>3</v>
      </c>
      <c r="M295" s="15">
        <f t="shared" si="36"/>
        <v>246</v>
      </c>
      <c r="N295" s="15">
        <f t="shared" si="37"/>
        <v>82</v>
      </c>
      <c r="O295" s="14" t="str">
        <f t="shared" si="38"/>
        <v>Excellent</v>
      </c>
      <c r="P295" s="15">
        <f t="shared" si="39"/>
        <v>20.5</v>
      </c>
      <c r="Q295" s="14" t="str">
        <f t="shared" si="40"/>
        <v>No</v>
      </c>
      <c r="R295" s="14" t="str">
        <f t="shared" si="41"/>
        <v>Normal Students</v>
      </c>
      <c r="S295" s="14" t="str">
        <f t="shared" si="42"/>
        <v>Balanced Student</v>
      </c>
      <c r="T295" s="14" t="str">
        <f t="shared" si="43"/>
        <v>High</v>
      </c>
      <c r="U295" s="21" t="str">
        <f t="shared" si="44"/>
        <v>A</v>
      </c>
    </row>
    <row r="296" spans="2:21">
      <c r="B296" s="20">
        <v>293</v>
      </c>
      <c r="C296" s="14" t="s">
        <v>30</v>
      </c>
      <c r="D296" s="14" t="s">
        <v>15</v>
      </c>
      <c r="E296" s="14">
        <v>6</v>
      </c>
      <c r="F296" s="14">
        <v>94</v>
      </c>
      <c r="G296" s="14">
        <v>91</v>
      </c>
      <c r="H296" s="14">
        <v>90</v>
      </c>
      <c r="I296" s="14">
        <v>92</v>
      </c>
      <c r="J296" s="14" t="s">
        <v>16</v>
      </c>
      <c r="K296" s="14">
        <v>6</v>
      </c>
      <c r="L296" s="14">
        <v>2</v>
      </c>
      <c r="M296" s="15">
        <f t="shared" si="36"/>
        <v>273</v>
      </c>
      <c r="N296" s="15">
        <f t="shared" si="37"/>
        <v>91</v>
      </c>
      <c r="O296" s="14" t="str">
        <f t="shared" si="38"/>
        <v>Excellent</v>
      </c>
      <c r="P296" s="15">
        <f t="shared" si="39"/>
        <v>15.166666666666666</v>
      </c>
      <c r="Q296" s="14" t="str">
        <f t="shared" si="40"/>
        <v>No</v>
      </c>
      <c r="R296" s="14" t="str">
        <f t="shared" si="41"/>
        <v>Normal Students</v>
      </c>
      <c r="S296" s="14" t="str">
        <f t="shared" si="42"/>
        <v>Balanced Student</v>
      </c>
      <c r="T296" s="14" t="str">
        <f t="shared" si="43"/>
        <v>High</v>
      </c>
      <c r="U296" s="21" t="str">
        <f t="shared" si="44"/>
        <v>A</v>
      </c>
    </row>
    <row r="297" spans="2:21">
      <c r="B297" s="20">
        <v>294</v>
      </c>
      <c r="C297" s="14" t="s">
        <v>85</v>
      </c>
      <c r="D297" s="14" t="s">
        <v>12</v>
      </c>
      <c r="E297" s="14">
        <v>2</v>
      </c>
      <c r="F297" s="14">
        <v>70</v>
      </c>
      <c r="G297" s="14">
        <v>62</v>
      </c>
      <c r="H297" s="14">
        <v>60</v>
      </c>
      <c r="I297" s="14">
        <v>66</v>
      </c>
      <c r="J297" s="14" t="s">
        <v>16</v>
      </c>
      <c r="K297" s="14">
        <v>8</v>
      </c>
      <c r="L297" s="14">
        <v>5</v>
      </c>
      <c r="M297" s="15">
        <f t="shared" si="36"/>
        <v>188</v>
      </c>
      <c r="N297" s="15">
        <f t="shared" si="37"/>
        <v>62.666666666666664</v>
      </c>
      <c r="O297" s="14" t="str">
        <f t="shared" si="38"/>
        <v>Good</v>
      </c>
      <c r="P297" s="15">
        <f t="shared" si="39"/>
        <v>31.333333333333332</v>
      </c>
      <c r="Q297" s="14" t="str">
        <f t="shared" si="40"/>
        <v>No</v>
      </c>
      <c r="R297" s="14" t="str">
        <f t="shared" si="41"/>
        <v>Normal Students</v>
      </c>
      <c r="S297" s="14" t="str">
        <f t="shared" si="42"/>
        <v>Unbalanced Student</v>
      </c>
      <c r="T297" s="14" t="str">
        <f t="shared" si="43"/>
        <v>Medium</v>
      </c>
      <c r="U297" s="21" t="str">
        <f t="shared" si="44"/>
        <v>C</v>
      </c>
    </row>
    <row r="298" spans="2:21">
      <c r="B298" s="20">
        <v>295</v>
      </c>
      <c r="C298" s="14" t="s">
        <v>144</v>
      </c>
      <c r="D298" s="14" t="s">
        <v>15</v>
      </c>
      <c r="E298" s="14">
        <v>5</v>
      </c>
      <c r="F298" s="14">
        <v>90</v>
      </c>
      <c r="G298" s="14">
        <v>86</v>
      </c>
      <c r="H298" s="14">
        <v>88</v>
      </c>
      <c r="I298" s="14">
        <v>89</v>
      </c>
      <c r="J298" s="14" t="s">
        <v>13</v>
      </c>
      <c r="K298" s="14">
        <v>6</v>
      </c>
      <c r="L298" s="14">
        <v>2</v>
      </c>
      <c r="M298" s="15">
        <f t="shared" si="36"/>
        <v>263</v>
      </c>
      <c r="N298" s="15">
        <f t="shared" si="37"/>
        <v>87.666666666666671</v>
      </c>
      <c r="O298" s="14" t="str">
        <f t="shared" si="38"/>
        <v>Excellent</v>
      </c>
      <c r="P298" s="15">
        <f t="shared" si="39"/>
        <v>17.533333333333335</v>
      </c>
      <c r="Q298" s="14" t="str">
        <f t="shared" si="40"/>
        <v>No</v>
      </c>
      <c r="R298" s="14" t="str">
        <f t="shared" si="41"/>
        <v>Normal Students</v>
      </c>
      <c r="S298" s="14" t="str">
        <f t="shared" si="42"/>
        <v>Balanced Student</v>
      </c>
      <c r="T298" s="14" t="str">
        <f t="shared" si="43"/>
        <v>High</v>
      </c>
      <c r="U298" s="21" t="str">
        <f t="shared" si="44"/>
        <v>A</v>
      </c>
    </row>
    <row r="299" spans="2:21">
      <c r="B299" s="20">
        <v>296</v>
      </c>
      <c r="C299" s="14" t="s">
        <v>147</v>
      </c>
      <c r="D299" s="14" t="s">
        <v>12</v>
      </c>
      <c r="E299" s="14">
        <v>3</v>
      </c>
      <c r="F299" s="14">
        <v>82</v>
      </c>
      <c r="G299" s="14">
        <v>76</v>
      </c>
      <c r="H299" s="14">
        <v>75</v>
      </c>
      <c r="I299" s="14">
        <v>80</v>
      </c>
      <c r="J299" s="14" t="s">
        <v>16</v>
      </c>
      <c r="K299" s="14">
        <v>7</v>
      </c>
      <c r="L299" s="14">
        <v>4</v>
      </c>
      <c r="M299" s="15">
        <f t="shared" si="36"/>
        <v>231</v>
      </c>
      <c r="N299" s="15">
        <f t="shared" si="37"/>
        <v>77</v>
      </c>
      <c r="O299" s="14" t="str">
        <f t="shared" si="38"/>
        <v>Good</v>
      </c>
      <c r="P299" s="15">
        <f t="shared" si="39"/>
        <v>25.666666666666668</v>
      </c>
      <c r="Q299" s="14" t="str">
        <f t="shared" si="40"/>
        <v>No</v>
      </c>
      <c r="R299" s="14" t="str">
        <f t="shared" si="41"/>
        <v>Normal Students</v>
      </c>
      <c r="S299" s="14" t="str">
        <f t="shared" si="42"/>
        <v>Unbalanced Student</v>
      </c>
      <c r="T299" s="14" t="str">
        <f t="shared" si="43"/>
        <v>High</v>
      </c>
      <c r="U299" s="21" t="str">
        <f t="shared" si="44"/>
        <v>B</v>
      </c>
    </row>
    <row r="300" spans="2:21">
      <c r="B300" s="20">
        <v>297</v>
      </c>
      <c r="C300" s="14" t="s">
        <v>40</v>
      </c>
      <c r="D300" s="14" t="s">
        <v>15</v>
      </c>
      <c r="E300" s="14">
        <v>4</v>
      </c>
      <c r="F300" s="14">
        <v>87</v>
      </c>
      <c r="G300" s="14">
        <v>83</v>
      </c>
      <c r="H300" s="14">
        <v>81</v>
      </c>
      <c r="I300" s="14">
        <v>85</v>
      </c>
      <c r="J300" s="14" t="s">
        <v>13</v>
      </c>
      <c r="K300" s="14">
        <v>6</v>
      </c>
      <c r="L300" s="14">
        <v>3</v>
      </c>
      <c r="M300" s="15">
        <f t="shared" si="36"/>
        <v>249</v>
      </c>
      <c r="N300" s="15">
        <f t="shared" si="37"/>
        <v>83</v>
      </c>
      <c r="O300" s="14" t="str">
        <f t="shared" si="38"/>
        <v>Excellent</v>
      </c>
      <c r="P300" s="15">
        <f t="shared" si="39"/>
        <v>20.75</v>
      </c>
      <c r="Q300" s="14" t="str">
        <f t="shared" si="40"/>
        <v>No</v>
      </c>
      <c r="R300" s="14" t="str">
        <f t="shared" si="41"/>
        <v>Normal Students</v>
      </c>
      <c r="S300" s="14" t="str">
        <f t="shared" si="42"/>
        <v>Balanced Student</v>
      </c>
      <c r="T300" s="14" t="str">
        <f t="shared" si="43"/>
        <v>High</v>
      </c>
      <c r="U300" s="21" t="str">
        <f t="shared" si="44"/>
        <v>A</v>
      </c>
    </row>
    <row r="301" spans="2:21">
      <c r="B301" s="20">
        <v>298</v>
      </c>
      <c r="C301" s="14" t="s">
        <v>91</v>
      </c>
      <c r="D301" s="14" t="s">
        <v>15</v>
      </c>
      <c r="E301" s="14">
        <v>2</v>
      </c>
      <c r="F301" s="14">
        <v>68</v>
      </c>
      <c r="G301" s="14">
        <v>60</v>
      </c>
      <c r="H301" s="14">
        <v>58</v>
      </c>
      <c r="I301" s="14">
        <v>64</v>
      </c>
      <c r="J301" s="14" t="s">
        <v>16</v>
      </c>
      <c r="K301" s="14">
        <v>8</v>
      </c>
      <c r="L301" s="14">
        <v>5</v>
      </c>
      <c r="M301" s="15">
        <f t="shared" si="36"/>
        <v>182</v>
      </c>
      <c r="N301" s="15">
        <f t="shared" si="37"/>
        <v>60.666666666666664</v>
      </c>
      <c r="O301" s="14" t="str">
        <f t="shared" si="38"/>
        <v>Good</v>
      </c>
      <c r="P301" s="15">
        <f t="shared" si="39"/>
        <v>30.333333333333332</v>
      </c>
      <c r="Q301" s="14" t="str">
        <f t="shared" si="40"/>
        <v>No</v>
      </c>
      <c r="R301" s="14" t="str">
        <f t="shared" si="41"/>
        <v>Normal Students</v>
      </c>
      <c r="S301" s="14" t="str">
        <f t="shared" si="42"/>
        <v>Unbalanced Student</v>
      </c>
      <c r="T301" s="14" t="str">
        <f t="shared" si="43"/>
        <v>Medium</v>
      </c>
      <c r="U301" s="21" t="str">
        <f t="shared" si="44"/>
        <v>C</v>
      </c>
    </row>
    <row r="302" spans="2:21">
      <c r="B302" s="20">
        <v>299</v>
      </c>
      <c r="C302" s="14" t="s">
        <v>55</v>
      </c>
      <c r="D302" s="14" t="s">
        <v>12</v>
      </c>
      <c r="E302" s="14">
        <v>5</v>
      </c>
      <c r="F302" s="14">
        <v>92</v>
      </c>
      <c r="G302" s="14">
        <v>88</v>
      </c>
      <c r="H302" s="14">
        <v>99</v>
      </c>
      <c r="I302" s="14">
        <v>91</v>
      </c>
      <c r="J302" s="14" t="s">
        <v>13</v>
      </c>
      <c r="K302" s="14">
        <v>6</v>
      </c>
      <c r="L302" s="14">
        <v>2</v>
      </c>
      <c r="M302" s="15">
        <f t="shared" si="36"/>
        <v>278</v>
      </c>
      <c r="N302" s="15">
        <f t="shared" si="37"/>
        <v>92.666666666666671</v>
      </c>
      <c r="O302" s="14" t="str">
        <f t="shared" si="38"/>
        <v>Excellent</v>
      </c>
      <c r="P302" s="15">
        <f t="shared" si="39"/>
        <v>18.533333333333335</v>
      </c>
      <c r="Q302" s="14" t="str">
        <f t="shared" si="40"/>
        <v>No</v>
      </c>
      <c r="R302" s="14" t="str">
        <f t="shared" si="41"/>
        <v>Normal Students</v>
      </c>
      <c r="S302" s="14" t="str">
        <f t="shared" si="42"/>
        <v>Balanced Student</v>
      </c>
      <c r="T302" s="14" t="str">
        <f t="shared" si="43"/>
        <v>High</v>
      </c>
      <c r="U302" s="21" t="str">
        <f t="shared" si="44"/>
        <v>A</v>
      </c>
    </row>
    <row r="303" spans="2:21">
      <c r="B303" s="20">
        <v>300</v>
      </c>
      <c r="C303" s="14" t="s">
        <v>57</v>
      </c>
      <c r="D303" s="14" t="s">
        <v>12</v>
      </c>
      <c r="E303" s="14">
        <v>3</v>
      </c>
      <c r="F303" s="14">
        <v>78</v>
      </c>
      <c r="G303" s="14">
        <v>72</v>
      </c>
      <c r="H303" s="14">
        <v>70</v>
      </c>
      <c r="I303" s="14">
        <v>75</v>
      </c>
      <c r="J303" s="14" t="s">
        <v>13</v>
      </c>
      <c r="K303" s="14">
        <v>7</v>
      </c>
      <c r="L303" s="14">
        <v>4</v>
      </c>
      <c r="M303" s="15">
        <f t="shared" si="36"/>
        <v>217</v>
      </c>
      <c r="N303" s="15">
        <f t="shared" si="37"/>
        <v>72.333333333333329</v>
      </c>
      <c r="O303" s="14" t="str">
        <f t="shared" si="38"/>
        <v>Good</v>
      </c>
      <c r="P303" s="15">
        <f t="shared" si="39"/>
        <v>24.111111111111111</v>
      </c>
      <c r="Q303" s="14" t="str">
        <f t="shared" si="40"/>
        <v>No</v>
      </c>
      <c r="R303" s="14" t="str">
        <f t="shared" si="41"/>
        <v>Normal Students</v>
      </c>
      <c r="S303" s="14" t="str">
        <f t="shared" si="42"/>
        <v>Unbalanced Student</v>
      </c>
      <c r="T303" s="14" t="str">
        <f t="shared" si="43"/>
        <v>Medium</v>
      </c>
      <c r="U303" s="21" t="str">
        <f t="shared" si="44"/>
        <v>B</v>
      </c>
    </row>
    <row r="304" spans="2:21">
      <c r="B304" s="20">
        <v>301</v>
      </c>
      <c r="C304" s="14" t="s">
        <v>165</v>
      </c>
      <c r="D304" s="14" t="s">
        <v>15</v>
      </c>
      <c r="E304" s="14">
        <v>4</v>
      </c>
      <c r="F304" s="14">
        <v>85</v>
      </c>
      <c r="G304" s="14">
        <v>80</v>
      </c>
      <c r="H304" s="14">
        <v>82</v>
      </c>
      <c r="I304" s="14">
        <v>84</v>
      </c>
      <c r="J304" s="14" t="s">
        <v>13</v>
      </c>
      <c r="K304" s="14">
        <v>7</v>
      </c>
      <c r="L304" s="14">
        <v>3</v>
      </c>
      <c r="M304" s="15">
        <f t="shared" si="36"/>
        <v>246</v>
      </c>
      <c r="N304" s="15">
        <f t="shared" si="37"/>
        <v>82</v>
      </c>
      <c r="O304" s="14" t="str">
        <f t="shared" si="38"/>
        <v>Excellent</v>
      </c>
      <c r="P304" s="15">
        <f t="shared" si="39"/>
        <v>20.5</v>
      </c>
      <c r="Q304" s="14" t="str">
        <f t="shared" si="40"/>
        <v>No</v>
      </c>
      <c r="R304" s="14" t="str">
        <f t="shared" si="41"/>
        <v>Normal Students</v>
      </c>
      <c r="S304" s="14" t="str">
        <f t="shared" si="42"/>
        <v>Balanced Student</v>
      </c>
      <c r="T304" s="14" t="str">
        <f t="shared" si="43"/>
        <v>High</v>
      </c>
      <c r="U304" s="21" t="str">
        <f t="shared" si="44"/>
        <v>A</v>
      </c>
    </row>
    <row r="305" spans="2:21">
      <c r="B305" s="20">
        <v>302</v>
      </c>
      <c r="C305" s="14" t="s">
        <v>65</v>
      </c>
      <c r="D305" s="14" t="s">
        <v>66</v>
      </c>
      <c r="E305" s="14">
        <v>3</v>
      </c>
      <c r="F305" s="14">
        <v>85</v>
      </c>
      <c r="G305" s="14">
        <v>78</v>
      </c>
      <c r="H305" s="14">
        <v>72</v>
      </c>
      <c r="I305" s="14">
        <v>80</v>
      </c>
      <c r="J305" s="14" t="s">
        <v>67</v>
      </c>
      <c r="K305" s="14">
        <v>7</v>
      </c>
      <c r="L305" s="14">
        <v>3</v>
      </c>
      <c r="M305" s="15">
        <f t="shared" si="36"/>
        <v>230</v>
      </c>
      <c r="N305" s="15">
        <f t="shared" si="37"/>
        <v>76.666666666666671</v>
      </c>
      <c r="O305" s="14" t="str">
        <f t="shared" si="38"/>
        <v>Good</v>
      </c>
      <c r="P305" s="15">
        <f t="shared" si="39"/>
        <v>25.555555555555557</v>
      </c>
      <c r="Q305" s="14" t="str">
        <f t="shared" si="40"/>
        <v>No</v>
      </c>
      <c r="R305" s="14" t="str">
        <f t="shared" si="41"/>
        <v>Normal Students</v>
      </c>
      <c r="S305" s="14" t="str">
        <f t="shared" si="42"/>
        <v>Unbalanced Student</v>
      </c>
      <c r="T305" s="14" t="str">
        <f t="shared" si="43"/>
        <v>High</v>
      </c>
      <c r="U305" s="21" t="str">
        <f t="shared" si="44"/>
        <v>B</v>
      </c>
    </row>
    <row r="306" spans="2:21">
      <c r="B306" s="20">
        <v>303</v>
      </c>
      <c r="C306" s="14" t="s">
        <v>154</v>
      </c>
      <c r="D306" s="14" t="s">
        <v>15</v>
      </c>
      <c r="E306" s="14">
        <v>0</v>
      </c>
      <c r="F306" s="14">
        <v>85</v>
      </c>
      <c r="G306" s="14">
        <v>80</v>
      </c>
      <c r="H306" s="14">
        <v>82</v>
      </c>
      <c r="I306" s="14">
        <v>84</v>
      </c>
      <c r="J306" s="14" t="s">
        <v>13</v>
      </c>
      <c r="K306" s="14">
        <v>7</v>
      </c>
      <c r="L306" s="14">
        <v>3</v>
      </c>
      <c r="M306" s="15">
        <f t="shared" si="36"/>
        <v>246</v>
      </c>
      <c r="N306" s="15">
        <f t="shared" si="37"/>
        <v>82</v>
      </c>
      <c r="O306" s="14" t="str">
        <f t="shared" si="38"/>
        <v>Excellent</v>
      </c>
      <c r="P306" s="15">
        <f t="shared" si="39"/>
        <v>0</v>
      </c>
      <c r="Q306" s="14" t="str">
        <f t="shared" si="40"/>
        <v>No</v>
      </c>
      <c r="R306" s="14" t="str">
        <f t="shared" si="41"/>
        <v>Smart Students</v>
      </c>
      <c r="S306" s="14" t="str">
        <f t="shared" si="42"/>
        <v>Balanced Student</v>
      </c>
      <c r="T306" s="14" t="str">
        <f t="shared" si="43"/>
        <v>High</v>
      </c>
      <c r="U306" s="21" t="str">
        <f t="shared" si="44"/>
        <v>A</v>
      </c>
    </row>
    <row r="307" spans="2:21">
      <c r="B307" s="20">
        <v>304</v>
      </c>
      <c r="C307" s="14" t="s">
        <v>68</v>
      </c>
      <c r="D307" s="14" t="s">
        <v>69</v>
      </c>
      <c r="E307" s="14">
        <v>4</v>
      </c>
      <c r="F307" s="14">
        <v>88</v>
      </c>
      <c r="G307" s="14">
        <v>82</v>
      </c>
      <c r="H307" s="14">
        <v>79</v>
      </c>
      <c r="I307" s="14">
        <v>85</v>
      </c>
      <c r="J307" s="14" t="s">
        <v>70</v>
      </c>
      <c r="K307" s="14">
        <v>7</v>
      </c>
      <c r="L307" s="14">
        <v>3</v>
      </c>
      <c r="M307" s="15">
        <f t="shared" si="36"/>
        <v>246</v>
      </c>
      <c r="N307" s="15">
        <f t="shared" si="37"/>
        <v>82</v>
      </c>
      <c r="O307" s="14" t="str">
        <f t="shared" si="38"/>
        <v>Excellent</v>
      </c>
      <c r="P307" s="15">
        <f t="shared" si="39"/>
        <v>20.5</v>
      </c>
      <c r="Q307" s="14" t="str">
        <f t="shared" si="40"/>
        <v>No</v>
      </c>
      <c r="R307" s="14" t="str">
        <f t="shared" si="41"/>
        <v>Normal Students</v>
      </c>
      <c r="S307" s="14" t="str">
        <f t="shared" si="42"/>
        <v>Balanced Student</v>
      </c>
      <c r="T307" s="14" t="str">
        <f t="shared" si="43"/>
        <v>High</v>
      </c>
      <c r="U307" s="21" t="str">
        <f t="shared" si="44"/>
        <v>A</v>
      </c>
    </row>
    <row r="308" spans="2:21">
      <c r="B308" s="20">
        <v>305</v>
      </c>
      <c r="C308" s="14" t="s">
        <v>71</v>
      </c>
      <c r="D308" s="14" t="s">
        <v>12</v>
      </c>
      <c r="E308" s="14">
        <v>3</v>
      </c>
      <c r="F308" s="14">
        <v>78</v>
      </c>
      <c r="G308" s="14">
        <v>72</v>
      </c>
      <c r="H308" s="14">
        <v>70</v>
      </c>
      <c r="I308" s="14">
        <v>75</v>
      </c>
      <c r="J308" s="14" t="s">
        <v>13</v>
      </c>
      <c r="K308" s="14">
        <v>7</v>
      </c>
      <c r="L308" s="14">
        <v>4</v>
      </c>
      <c r="M308" s="15">
        <f t="shared" si="36"/>
        <v>217</v>
      </c>
      <c r="N308" s="15">
        <f t="shared" si="37"/>
        <v>72.333333333333329</v>
      </c>
      <c r="O308" s="14" t="str">
        <f t="shared" si="38"/>
        <v>Good</v>
      </c>
      <c r="P308" s="15">
        <f t="shared" si="39"/>
        <v>24.111111111111111</v>
      </c>
      <c r="Q308" s="14" t="str">
        <f t="shared" si="40"/>
        <v>No</v>
      </c>
      <c r="R308" s="14" t="str">
        <f t="shared" si="41"/>
        <v>Normal Students</v>
      </c>
      <c r="S308" s="14" t="str">
        <f t="shared" si="42"/>
        <v>Unbalanced Student</v>
      </c>
      <c r="T308" s="14" t="str">
        <f t="shared" si="43"/>
        <v>Medium</v>
      </c>
      <c r="U308" s="21" t="str">
        <f t="shared" si="44"/>
        <v>B</v>
      </c>
    </row>
    <row r="309" spans="2:21">
      <c r="B309" s="20">
        <v>306</v>
      </c>
      <c r="C309" s="14" t="s">
        <v>163</v>
      </c>
      <c r="D309" s="14" t="s">
        <v>12</v>
      </c>
      <c r="E309" s="14">
        <v>4</v>
      </c>
      <c r="F309" s="14">
        <v>88</v>
      </c>
      <c r="G309" s="14">
        <v>82</v>
      </c>
      <c r="H309" s="14">
        <v>80</v>
      </c>
      <c r="I309" s="14">
        <v>85</v>
      </c>
      <c r="J309" s="14" t="s">
        <v>13</v>
      </c>
      <c r="K309" s="14">
        <v>7</v>
      </c>
      <c r="L309" s="14">
        <v>3</v>
      </c>
      <c r="M309" s="15">
        <f t="shared" si="36"/>
        <v>247</v>
      </c>
      <c r="N309" s="15">
        <f t="shared" si="37"/>
        <v>82.333333333333329</v>
      </c>
      <c r="O309" s="14" t="str">
        <f t="shared" si="38"/>
        <v>Excellent</v>
      </c>
      <c r="P309" s="15">
        <f t="shared" si="39"/>
        <v>20.583333333333332</v>
      </c>
      <c r="Q309" s="14" t="str">
        <f t="shared" si="40"/>
        <v>No</v>
      </c>
      <c r="R309" s="14" t="str">
        <f t="shared" si="41"/>
        <v>Normal Students</v>
      </c>
      <c r="S309" s="14" t="str">
        <f t="shared" si="42"/>
        <v>Balanced Student</v>
      </c>
      <c r="T309" s="14" t="str">
        <f t="shared" si="43"/>
        <v>High</v>
      </c>
      <c r="U309" s="21" t="str">
        <f t="shared" si="44"/>
        <v>A</v>
      </c>
    </row>
    <row r="310" spans="2:21">
      <c r="B310" s="20">
        <v>307</v>
      </c>
      <c r="C310" s="14" t="s">
        <v>158</v>
      </c>
      <c r="D310" s="14" t="s">
        <v>159</v>
      </c>
      <c r="E310" s="14">
        <v>5</v>
      </c>
      <c r="F310" s="14">
        <v>90</v>
      </c>
      <c r="G310" s="14">
        <v>86</v>
      </c>
      <c r="H310" s="14">
        <v>88</v>
      </c>
      <c r="I310" s="14">
        <v>89</v>
      </c>
      <c r="J310" s="14" t="s">
        <v>67</v>
      </c>
      <c r="K310" s="14">
        <v>6</v>
      </c>
      <c r="L310" s="14">
        <v>2</v>
      </c>
      <c r="M310" s="15">
        <f t="shared" si="36"/>
        <v>263</v>
      </c>
      <c r="N310" s="15">
        <f t="shared" si="37"/>
        <v>87.666666666666671</v>
      </c>
      <c r="O310" s="14" t="str">
        <f t="shared" si="38"/>
        <v>Excellent</v>
      </c>
      <c r="P310" s="15">
        <f t="shared" si="39"/>
        <v>17.533333333333335</v>
      </c>
      <c r="Q310" s="14" t="str">
        <f t="shared" si="40"/>
        <v>No</v>
      </c>
      <c r="R310" s="14" t="str">
        <f t="shared" si="41"/>
        <v>Normal Students</v>
      </c>
      <c r="S310" s="14" t="str">
        <f t="shared" si="42"/>
        <v>Balanced Student</v>
      </c>
      <c r="T310" s="14" t="str">
        <f t="shared" si="43"/>
        <v>High</v>
      </c>
      <c r="U310" s="21" t="str">
        <f t="shared" si="44"/>
        <v>A</v>
      </c>
    </row>
    <row r="311" spans="2:21">
      <c r="B311" s="20">
        <v>308</v>
      </c>
      <c r="C311" s="14" t="s">
        <v>63</v>
      </c>
      <c r="D311" s="14" t="s">
        <v>12</v>
      </c>
      <c r="E311" s="14">
        <v>0</v>
      </c>
      <c r="F311" s="14">
        <v>85</v>
      </c>
      <c r="G311" s="14">
        <v>80</v>
      </c>
      <c r="H311" s="14">
        <v>82</v>
      </c>
      <c r="I311" s="14">
        <v>84</v>
      </c>
      <c r="J311" s="14" t="s">
        <v>13</v>
      </c>
      <c r="K311" s="14">
        <v>7</v>
      </c>
      <c r="L311" s="14">
        <v>3</v>
      </c>
      <c r="M311" s="15">
        <f t="shared" si="36"/>
        <v>246</v>
      </c>
      <c r="N311" s="15">
        <f t="shared" si="37"/>
        <v>82</v>
      </c>
      <c r="O311" s="14" t="str">
        <f t="shared" si="38"/>
        <v>Excellent</v>
      </c>
      <c r="P311" s="15">
        <f t="shared" si="39"/>
        <v>0</v>
      </c>
      <c r="Q311" s="14" t="str">
        <f t="shared" si="40"/>
        <v>No</v>
      </c>
      <c r="R311" s="14" t="str">
        <f t="shared" si="41"/>
        <v>Smart Students</v>
      </c>
      <c r="S311" s="14" t="str">
        <f t="shared" si="42"/>
        <v>Balanced Student</v>
      </c>
      <c r="T311" s="14" t="str">
        <f t="shared" si="43"/>
        <v>High</v>
      </c>
      <c r="U311" s="21" t="str">
        <f t="shared" si="44"/>
        <v>A</v>
      </c>
    </row>
    <row r="312" spans="2:21">
      <c r="B312" s="20">
        <v>309</v>
      </c>
      <c r="C312" s="14" t="s">
        <v>160</v>
      </c>
      <c r="D312" s="14" t="s">
        <v>161</v>
      </c>
      <c r="E312" s="14">
        <v>2</v>
      </c>
      <c r="F312" s="14">
        <v>70</v>
      </c>
      <c r="G312" s="14">
        <v>62</v>
      </c>
      <c r="H312" s="14">
        <v>60</v>
      </c>
      <c r="I312" s="14">
        <v>66</v>
      </c>
      <c r="J312" s="14" t="s">
        <v>162</v>
      </c>
      <c r="K312" s="14">
        <v>8</v>
      </c>
      <c r="L312" s="14">
        <v>5</v>
      </c>
      <c r="M312" s="15">
        <f t="shared" si="36"/>
        <v>188</v>
      </c>
      <c r="N312" s="15">
        <f t="shared" si="37"/>
        <v>62.666666666666664</v>
      </c>
      <c r="O312" s="14" t="str">
        <f t="shared" si="38"/>
        <v>Good</v>
      </c>
      <c r="P312" s="15">
        <f t="shared" si="39"/>
        <v>31.333333333333332</v>
      </c>
      <c r="Q312" s="14" t="str">
        <f t="shared" si="40"/>
        <v>No</v>
      </c>
      <c r="R312" s="14" t="str">
        <f t="shared" si="41"/>
        <v>Normal Students</v>
      </c>
      <c r="S312" s="14" t="str">
        <f t="shared" si="42"/>
        <v>Unbalanced Student</v>
      </c>
      <c r="T312" s="14" t="str">
        <f t="shared" si="43"/>
        <v>Medium</v>
      </c>
      <c r="U312" s="21" t="str">
        <f t="shared" si="44"/>
        <v>C</v>
      </c>
    </row>
    <row r="313" spans="2:21">
      <c r="B313" s="20">
        <v>310</v>
      </c>
      <c r="C313" s="14" t="s">
        <v>40</v>
      </c>
      <c r="D313" s="14" t="s">
        <v>15</v>
      </c>
      <c r="E313" s="14">
        <v>5</v>
      </c>
      <c r="F313" s="14">
        <v>92</v>
      </c>
      <c r="G313" s="14">
        <v>88</v>
      </c>
      <c r="H313" s="14">
        <v>90</v>
      </c>
      <c r="I313" s="14">
        <v>91</v>
      </c>
      <c r="J313" s="14" t="s">
        <v>13</v>
      </c>
      <c r="K313" s="14">
        <v>0</v>
      </c>
      <c r="L313" s="14">
        <v>2</v>
      </c>
      <c r="M313" s="15">
        <f t="shared" si="36"/>
        <v>269</v>
      </c>
      <c r="N313" s="15">
        <f t="shared" si="37"/>
        <v>89.666666666666671</v>
      </c>
      <c r="O313" s="14" t="str">
        <f t="shared" si="38"/>
        <v>Excellent</v>
      </c>
      <c r="P313" s="15">
        <f t="shared" si="39"/>
        <v>17.933333333333334</v>
      </c>
      <c r="Q313" s="14" t="str">
        <f t="shared" si="40"/>
        <v>No</v>
      </c>
      <c r="R313" s="14" t="str">
        <f t="shared" si="41"/>
        <v>Normal Students</v>
      </c>
      <c r="S313" s="14" t="str">
        <f t="shared" si="42"/>
        <v>Unbalanced Student</v>
      </c>
      <c r="T313" s="14" t="str">
        <f t="shared" si="43"/>
        <v>High</v>
      </c>
      <c r="U313" s="21" t="str">
        <f t="shared" si="44"/>
        <v>A</v>
      </c>
    </row>
    <row r="314" spans="2:21">
      <c r="B314" s="20">
        <v>311</v>
      </c>
      <c r="C314" s="14" t="s">
        <v>71</v>
      </c>
      <c r="D314" s="14" t="s">
        <v>12</v>
      </c>
      <c r="E314" s="14">
        <v>3</v>
      </c>
      <c r="F314" s="14">
        <v>78</v>
      </c>
      <c r="G314" s="14">
        <v>72</v>
      </c>
      <c r="H314" s="14">
        <v>70</v>
      </c>
      <c r="I314" s="14">
        <v>75</v>
      </c>
      <c r="J314" s="14" t="s">
        <v>13</v>
      </c>
      <c r="K314" s="14">
        <v>7</v>
      </c>
      <c r="L314" s="14">
        <v>4</v>
      </c>
      <c r="M314" s="15">
        <f t="shared" si="36"/>
        <v>217</v>
      </c>
      <c r="N314" s="15">
        <f t="shared" si="37"/>
        <v>72.333333333333329</v>
      </c>
      <c r="O314" s="14" t="str">
        <f t="shared" si="38"/>
        <v>Good</v>
      </c>
      <c r="P314" s="15">
        <f t="shared" si="39"/>
        <v>24.111111111111111</v>
      </c>
      <c r="Q314" s="14" t="str">
        <f t="shared" si="40"/>
        <v>No</v>
      </c>
      <c r="R314" s="14" t="str">
        <f t="shared" si="41"/>
        <v>Normal Students</v>
      </c>
      <c r="S314" s="14" t="str">
        <f t="shared" si="42"/>
        <v>Unbalanced Student</v>
      </c>
      <c r="T314" s="14" t="str">
        <f t="shared" si="43"/>
        <v>Medium</v>
      </c>
      <c r="U314" s="21" t="str">
        <f t="shared" si="44"/>
        <v>B</v>
      </c>
    </row>
    <row r="315" spans="2:21">
      <c r="B315" s="20">
        <v>312</v>
      </c>
      <c r="C315" s="14" t="s">
        <v>50</v>
      </c>
      <c r="D315" s="14" t="s">
        <v>15</v>
      </c>
      <c r="E315" s="14">
        <v>4</v>
      </c>
      <c r="F315" s="14">
        <v>87</v>
      </c>
      <c r="G315" s="14">
        <v>83</v>
      </c>
      <c r="H315" s="14">
        <v>81</v>
      </c>
      <c r="I315" s="14">
        <v>85</v>
      </c>
      <c r="J315" s="14" t="s">
        <v>13</v>
      </c>
      <c r="K315" s="14">
        <v>6</v>
      </c>
      <c r="L315" s="14">
        <v>3</v>
      </c>
      <c r="M315" s="15">
        <f t="shared" si="36"/>
        <v>249</v>
      </c>
      <c r="N315" s="15">
        <f t="shared" si="37"/>
        <v>83</v>
      </c>
      <c r="O315" s="14" t="str">
        <f t="shared" si="38"/>
        <v>Excellent</v>
      </c>
      <c r="P315" s="15">
        <f t="shared" si="39"/>
        <v>20.75</v>
      </c>
      <c r="Q315" s="14" t="str">
        <f t="shared" si="40"/>
        <v>No</v>
      </c>
      <c r="R315" s="14" t="str">
        <f t="shared" si="41"/>
        <v>Normal Students</v>
      </c>
      <c r="S315" s="14" t="str">
        <f t="shared" si="42"/>
        <v>Balanced Student</v>
      </c>
      <c r="T315" s="14" t="str">
        <f t="shared" si="43"/>
        <v>High</v>
      </c>
      <c r="U315" s="21" t="str">
        <f t="shared" si="44"/>
        <v>A</v>
      </c>
    </row>
    <row r="316" spans="2:21">
      <c r="B316" s="20">
        <v>313</v>
      </c>
      <c r="C316" s="14" t="s">
        <v>165</v>
      </c>
      <c r="D316" s="14" t="s">
        <v>12</v>
      </c>
      <c r="E316" s="14">
        <v>2</v>
      </c>
      <c r="F316" s="14">
        <v>68</v>
      </c>
      <c r="G316" s="14">
        <v>60</v>
      </c>
      <c r="H316" s="14">
        <v>58</v>
      </c>
      <c r="I316" s="14">
        <v>64</v>
      </c>
      <c r="J316" s="14" t="s">
        <v>16</v>
      </c>
      <c r="K316" s="14">
        <v>8</v>
      </c>
      <c r="L316" s="14">
        <v>5</v>
      </c>
      <c r="M316" s="15">
        <f t="shared" si="36"/>
        <v>182</v>
      </c>
      <c r="N316" s="15">
        <f t="shared" si="37"/>
        <v>60.666666666666664</v>
      </c>
      <c r="O316" s="14" t="str">
        <f t="shared" si="38"/>
        <v>Good</v>
      </c>
      <c r="P316" s="15">
        <f t="shared" si="39"/>
        <v>30.333333333333332</v>
      </c>
      <c r="Q316" s="14" t="str">
        <f t="shared" si="40"/>
        <v>No</v>
      </c>
      <c r="R316" s="14" t="str">
        <f t="shared" si="41"/>
        <v>Normal Students</v>
      </c>
      <c r="S316" s="14" t="str">
        <f t="shared" si="42"/>
        <v>Unbalanced Student</v>
      </c>
      <c r="T316" s="14" t="str">
        <f t="shared" si="43"/>
        <v>Medium</v>
      </c>
      <c r="U316" s="21" t="str">
        <f t="shared" si="44"/>
        <v>C</v>
      </c>
    </row>
    <row r="317" spans="2:21">
      <c r="B317" s="20">
        <v>314</v>
      </c>
      <c r="C317" s="14" t="s">
        <v>154</v>
      </c>
      <c r="D317" s="14" t="s">
        <v>15</v>
      </c>
      <c r="E317" s="14">
        <v>5</v>
      </c>
      <c r="F317" s="14">
        <v>91</v>
      </c>
      <c r="G317" s="14">
        <v>87</v>
      </c>
      <c r="H317" s="14">
        <v>88</v>
      </c>
      <c r="I317" s="14">
        <v>90</v>
      </c>
      <c r="J317" s="14" t="s">
        <v>13</v>
      </c>
      <c r="K317" s="14">
        <v>6</v>
      </c>
      <c r="L317" s="14">
        <v>2</v>
      </c>
      <c r="M317" s="15">
        <f t="shared" si="36"/>
        <v>265</v>
      </c>
      <c r="N317" s="15">
        <f t="shared" si="37"/>
        <v>88.333333333333329</v>
      </c>
      <c r="O317" s="14" t="str">
        <f t="shared" si="38"/>
        <v>Excellent</v>
      </c>
      <c r="P317" s="15">
        <f t="shared" si="39"/>
        <v>17.666666666666664</v>
      </c>
      <c r="Q317" s="14" t="str">
        <f t="shared" si="40"/>
        <v>No</v>
      </c>
      <c r="R317" s="14" t="str">
        <f t="shared" si="41"/>
        <v>Normal Students</v>
      </c>
      <c r="S317" s="14" t="str">
        <f t="shared" si="42"/>
        <v>Balanced Student</v>
      </c>
      <c r="T317" s="14" t="str">
        <f t="shared" si="43"/>
        <v>High</v>
      </c>
      <c r="U317" s="21" t="str">
        <f t="shared" si="44"/>
        <v>A</v>
      </c>
    </row>
    <row r="318" spans="2:21">
      <c r="B318" s="20">
        <v>315</v>
      </c>
      <c r="C318" s="14" t="s">
        <v>156</v>
      </c>
      <c r="D318" s="14" t="s">
        <v>12</v>
      </c>
      <c r="E318" s="14">
        <v>6</v>
      </c>
      <c r="F318" s="14">
        <v>94</v>
      </c>
      <c r="G318" s="14">
        <v>91</v>
      </c>
      <c r="H318" s="14">
        <v>90</v>
      </c>
      <c r="I318" s="14">
        <v>92</v>
      </c>
      <c r="J318" s="14" t="s">
        <v>16</v>
      </c>
      <c r="K318" s="14">
        <v>6</v>
      </c>
      <c r="L318" s="14">
        <v>2</v>
      </c>
      <c r="M318" s="15">
        <f t="shared" si="36"/>
        <v>273</v>
      </c>
      <c r="N318" s="15">
        <f t="shared" si="37"/>
        <v>91</v>
      </c>
      <c r="O318" s="14" t="str">
        <f t="shared" si="38"/>
        <v>Excellent</v>
      </c>
      <c r="P318" s="15">
        <f t="shared" si="39"/>
        <v>15.166666666666666</v>
      </c>
      <c r="Q318" s="14" t="str">
        <f t="shared" si="40"/>
        <v>No</v>
      </c>
      <c r="R318" s="14" t="str">
        <f t="shared" si="41"/>
        <v>Normal Students</v>
      </c>
      <c r="S318" s="14" t="str">
        <f t="shared" si="42"/>
        <v>Balanced Student</v>
      </c>
      <c r="T318" s="14" t="str">
        <f t="shared" si="43"/>
        <v>High</v>
      </c>
      <c r="U318" s="21" t="str">
        <f t="shared" si="44"/>
        <v>A</v>
      </c>
    </row>
    <row r="319" spans="2:21">
      <c r="B319" s="20">
        <v>316</v>
      </c>
      <c r="C319" s="14" t="s">
        <v>37</v>
      </c>
      <c r="D319" s="14" t="s">
        <v>12</v>
      </c>
      <c r="E319" s="14">
        <v>3</v>
      </c>
      <c r="F319" s="14">
        <v>80</v>
      </c>
      <c r="G319" s="14">
        <v>75</v>
      </c>
      <c r="H319" s="14">
        <v>73</v>
      </c>
      <c r="I319" s="14">
        <v>78</v>
      </c>
      <c r="J319" s="14" t="s">
        <v>13</v>
      </c>
      <c r="K319" s="14">
        <v>7</v>
      </c>
      <c r="L319" s="14">
        <v>4</v>
      </c>
      <c r="M319" s="15">
        <f t="shared" si="36"/>
        <v>226</v>
      </c>
      <c r="N319" s="15">
        <f t="shared" si="37"/>
        <v>75.333333333333329</v>
      </c>
      <c r="O319" s="14" t="str">
        <f t="shared" si="38"/>
        <v>Good</v>
      </c>
      <c r="P319" s="15">
        <f t="shared" si="39"/>
        <v>25.111111111111111</v>
      </c>
      <c r="Q319" s="14" t="str">
        <f t="shared" si="40"/>
        <v>No</v>
      </c>
      <c r="R319" s="14" t="str">
        <f t="shared" si="41"/>
        <v>Normal Students</v>
      </c>
      <c r="S319" s="14" t="str">
        <f t="shared" si="42"/>
        <v>Unbalanced Student</v>
      </c>
      <c r="T319" s="14" t="str">
        <f t="shared" si="43"/>
        <v>High</v>
      </c>
      <c r="U319" s="21" t="str">
        <f t="shared" si="44"/>
        <v>B</v>
      </c>
    </row>
    <row r="320" spans="2:21">
      <c r="B320" s="20">
        <v>317</v>
      </c>
      <c r="C320" s="14" t="s">
        <v>28</v>
      </c>
      <c r="D320" s="14" t="s">
        <v>15</v>
      </c>
      <c r="E320" s="14">
        <v>4</v>
      </c>
      <c r="F320" s="14">
        <v>85</v>
      </c>
      <c r="G320" s="14">
        <v>80</v>
      </c>
      <c r="H320" s="14">
        <v>82</v>
      </c>
      <c r="I320" s="14">
        <v>84</v>
      </c>
      <c r="J320" s="14" t="s">
        <v>13</v>
      </c>
      <c r="K320" s="14">
        <v>7</v>
      </c>
      <c r="L320" s="14">
        <v>3</v>
      </c>
      <c r="M320" s="15">
        <f t="shared" si="36"/>
        <v>246</v>
      </c>
      <c r="N320" s="15">
        <f t="shared" si="37"/>
        <v>82</v>
      </c>
      <c r="O320" s="14" t="str">
        <f t="shared" si="38"/>
        <v>Excellent</v>
      </c>
      <c r="P320" s="15">
        <f t="shared" si="39"/>
        <v>20.5</v>
      </c>
      <c r="Q320" s="14" t="str">
        <f t="shared" si="40"/>
        <v>No</v>
      </c>
      <c r="R320" s="14" t="str">
        <f t="shared" si="41"/>
        <v>Normal Students</v>
      </c>
      <c r="S320" s="14" t="str">
        <f t="shared" si="42"/>
        <v>Balanced Student</v>
      </c>
      <c r="T320" s="14" t="str">
        <f t="shared" si="43"/>
        <v>High</v>
      </c>
      <c r="U320" s="21" t="str">
        <f t="shared" si="44"/>
        <v>A</v>
      </c>
    </row>
    <row r="321" spans="2:21">
      <c r="B321" s="20">
        <v>318</v>
      </c>
      <c r="C321" s="14" t="s">
        <v>39</v>
      </c>
      <c r="D321" s="14" t="s">
        <v>12</v>
      </c>
      <c r="E321" s="14">
        <v>2</v>
      </c>
      <c r="F321" s="14">
        <v>70</v>
      </c>
      <c r="G321" s="14">
        <v>62</v>
      </c>
      <c r="H321" s="14">
        <v>60</v>
      </c>
      <c r="I321" s="14">
        <v>66</v>
      </c>
      <c r="J321" s="14" t="s">
        <v>16</v>
      </c>
      <c r="K321" s="14">
        <v>8</v>
      </c>
      <c r="L321" s="14">
        <v>5</v>
      </c>
      <c r="M321" s="15">
        <f t="shared" si="36"/>
        <v>188</v>
      </c>
      <c r="N321" s="15">
        <f t="shared" si="37"/>
        <v>62.666666666666664</v>
      </c>
      <c r="O321" s="14" t="str">
        <f t="shared" si="38"/>
        <v>Good</v>
      </c>
      <c r="P321" s="15">
        <f t="shared" si="39"/>
        <v>31.333333333333332</v>
      </c>
      <c r="Q321" s="14" t="str">
        <f t="shared" si="40"/>
        <v>No</v>
      </c>
      <c r="R321" s="14" t="str">
        <f t="shared" si="41"/>
        <v>Normal Students</v>
      </c>
      <c r="S321" s="14" t="str">
        <f t="shared" si="42"/>
        <v>Unbalanced Student</v>
      </c>
      <c r="T321" s="14" t="str">
        <f t="shared" si="43"/>
        <v>Medium</v>
      </c>
      <c r="U321" s="21" t="str">
        <f t="shared" si="44"/>
        <v>C</v>
      </c>
    </row>
    <row r="322" spans="2:21">
      <c r="B322" s="20">
        <v>319</v>
      </c>
      <c r="C322" s="14" t="s">
        <v>56</v>
      </c>
      <c r="D322" s="14" t="s">
        <v>15</v>
      </c>
      <c r="E322" s="14">
        <v>5</v>
      </c>
      <c r="F322" s="14">
        <v>92</v>
      </c>
      <c r="G322" s="14">
        <v>88</v>
      </c>
      <c r="H322" s="14">
        <v>90</v>
      </c>
      <c r="I322" s="14">
        <v>91</v>
      </c>
      <c r="J322" s="14" t="s">
        <v>13</v>
      </c>
      <c r="K322" s="14">
        <v>6</v>
      </c>
      <c r="L322" s="14">
        <v>2</v>
      </c>
      <c r="M322" s="15">
        <f t="shared" si="36"/>
        <v>269</v>
      </c>
      <c r="N322" s="15">
        <f t="shared" si="37"/>
        <v>89.666666666666671</v>
      </c>
      <c r="O322" s="14" t="str">
        <f t="shared" si="38"/>
        <v>Excellent</v>
      </c>
      <c r="P322" s="15">
        <f t="shared" si="39"/>
        <v>17.933333333333334</v>
      </c>
      <c r="Q322" s="14" t="str">
        <f t="shared" si="40"/>
        <v>No</v>
      </c>
      <c r="R322" s="14" t="str">
        <f t="shared" si="41"/>
        <v>Normal Students</v>
      </c>
      <c r="S322" s="14" t="str">
        <f t="shared" si="42"/>
        <v>Balanced Student</v>
      </c>
      <c r="T322" s="14" t="str">
        <f t="shared" si="43"/>
        <v>High</v>
      </c>
      <c r="U322" s="21" t="str">
        <f t="shared" si="44"/>
        <v>A</v>
      </c>
    </row>
    <row r="323" spans="2:21">
      <c r="B323" s="20">
        <v>320</v>
      </c>
      <c r="C323" s="14" t="s">
        <v>71</v>
      </c>
      <c r="D323" s="14" t="s">
        <v>12</v>
      </c>
      <c r="E323" s="14">
        <v>3</v>
      </c>
      <c r="F323" s="14">
        <v>78</v>
      </c>
      <c r="G323" s="14">
        <v>72</v>
      </c>
      <c r="H323" s="14">
        <v>70</v>
      </c>
      <c r="I323" s="14">
        <v>75</v>
      </c>
      <c r="J323" s="14" t="s">
        <v>13</v>
      </c>
      <c r="K323" s="14">
        <v>7</v>
      </c>
      <c r="L323" s="14">
        <v>4</v>
      </c>
      <c r="M323" s="15">
        <f t="shared" si="36"/>
        <v>217</v>
      </c>
      <c r="N323" s="15">
        <f t="shared" si="37"/>
        <v>72.333333333333329</v>
      </c>
      <c r="O323" s="14" t="str">
        <f t="shared" si="38"/>
        <v>Good</v>
      </c>
      <c r="P323" s="15">
        <f t="shared" si="39"/>
        <v>24.111111111111111</v>
      </c>
      <c r="Q323" s="14" t="str">
        <f t="shared" si="40"/>
        <v>No</v>
      </c>
      <c r="R323" s="14" t="str">
        <f t="shared" si="41"/>
        <v>Normal Students</v>
      </c>
      <c r="S323" s="14" t="str">
        <f t="shared" si="42"/>
        <v>Unbalanced Student</v>
      </c>
      <c r="T323" s="14" t="str">
        <f t="shared" si="43"/>
        <v>Medium</v>
      </c>
      <c r="U323" s="21" t="str">
        <f t="shared" si="44"/>
        <v>B</v>
      </c>
    </row>
    <row r="324" spans="2:21">
      <c r="B324" s="20">
        <v>321</v>
      </c>
      <c r="C324" s="14" t="s">
        <v>18</v>
      </c>
      <c r="D324" s="14" t="s">
        <v>15</v>
      </c>
      <c r="E324" s="14">
        <v>4</v>
      </c>
      <c r="F324" s="14">
        <v>87</v>
      </c>
      <c r="G324" s="14">
        <v>83</v>
      </c>
      <c r="H324" s="14">
        <v>81</v>
      </c>
      <c r="I324" s="14">
        <v>85</v>
      </c>
      <c r="J324" s="14" t="s">
        <v>13</v>
      </c>
      <c r="K324" s="14">
        <v>6</v>
      </c>
      <c r="L324" s="14">
        <v>3</v>
      </c>
      <c r="M324" s="15">
        <f t="shared" si="36"/>
        <v>249</v>
      </c>
      <c r="N324" s="15">
        <f t="shared" si="37"/>
        <v>83</v>
      </c>
      <c r="O324" s="14" t="str">
        <f t="shared" si="38"/>
        <v>Excellent</v>
      </c>
      <c r="P324" s="15">
        <f t="shared" si="39"/>
        <v>20.75</v>
      </c>
      <c r="Q324" s="14" t="str">
        <f t="shared" si="40"/>
        <v>No</v>
      </c>
      <c r="R324" s="14" t="str">
        <f t="shared" si="41"/>
        <v>Normal Students</v>
      </c>
      <c r="S324" s="14" t="str">
        <f t="shared" si="42"/>
        <v>Balanced Student</v>
      </c>
      <c r="T324" s="14" t="str">
        <f t="shared" si="43"/>
        <v>High</v>
      </c>
      <c r="U324" s="21" t="str">
        <f t="shared" si="44"/>
        <v>A</v>
      </c>
    </row>
    <row r="325" spans="2:21">
      <c r="B325" s="20">
        <v>322</v>
      </c>
      <c r="C325" s="14" t="s">
        <v>53</v>
      </c>
      <c r="D325" s="14" t="s">
        <v>12</v>
      </c>
      <c r="E325" s="14">
        <v>1</v>
      </c>
      <c r="F325" s="14">
        <v>62</v>
      </c>
      <c r="G325" s="14">
        <v>52</v>
      </c>
      <c r="H325" s="14">
        <v>50</v>
      </c>
      <c r="I325" s="14">
        <v>57</v>
      </c>
      <c r="J325" s="14" t="s">
        <v>16</v>
      </c>
      <c r="K325" s="14">
        <v>8</v>
      </c>
      <c r="L325" s="14">
        <v>6</v>
      </c>
      <c r="M325" s="15">
        <f t="shared" ref="M325:M388" si="45">SUM(G325:I325)</f>
        <v>159</v>
      </c>
      <c r="N325" s="15">
        <f t="shared" ref="N325:N388" si="46">AVERAGE(G325:I325)</f>
        <v>53</v>
      </c>
      <c r="O325" s="14" t="str">
        <f t="shared" ref="O325:O388" si="47">IF(N325&gt;= 80, "Excellent",IF(N325&gt;=60, "Good","Needs Improvement"))</f>
        <v>Needs Improvement</v>
      </c>
      <c r="P325" s="15">
        <f t="shared" ref="P325:P388" si="48">IF(E325,N325/E325,0)</f>
        <v>53</v>
      </c>
      <c r="Q325" s="14" t="str">
        <f t="shared" ref="Q325:Q388" si="49">IF(AND(F325 &lt; 75,N325 &lt; 60),"Yes", "No")</f>
        <v>Yes</v>
      </c>
      <c r="R325" s="14" t="str">
        <f t="shared" ref="R325:R388" si="50">IF(AND(N325&gt;=80,E325&lt;=2),"Smart Students","Normal Students")</f>
        <v>Normal Students</v>
      </c>
      <c r="S325" s="14" t="str">
        <f t="shared" ref="S325:S388" si="51">IF(AND(F325&gt;=75,K325&gt;=6,N325&gt;=80),"Balanced Student","Unbalanced Student")</f>
        <v>Unbalanced Student</v>
      </c>
      <c r="T325" s="14" t="str">
        <f t="shared" ref="T325:T388" si="52">IF(F325&gt;= 80, "High",
IF(F325&gt;=60,"Medium", "Low"))</f>
        <v>Medium</v>
      </c>
      <c r="U325" s="21" t="str">
        <f t="shared" ref="U325:U388" si="53">VLOOKUP(N325,$AA$5:$AB$9,2,1)</f>
        <v>D</v>
      </c>
    </row>
    <row r="326" spans="2:21">
      <c r="B326" s="20">
        <v>323</v>
      </c>
      <c r="C326" s="14" t="s">
        <v>117</v>
      </c>
      <c r="D326" s="14" t="s">
        <v>15</v>
      </c>
      <c r="E326" s="14">
        <v>5</v>
      </c>
      <c r="F326" s="14">
        <v>91</v>
      </c>
      <c r="G326" s="14">
        <v>87</v>
      </c>
      <c r="H326" s="14">
        <v>88</v>
      </c>
      <c r="I326" s="14">
        <v>90</v>
      </c>
      <c r="J326" s="14" t="s">
        <v>13</v>
      </c>
      <c r="K326" s="14">
        <v>6</v>
      </c>
      <c r="L326" s="14">
        <v>2</v>
      </c>
      <c r="M326" s="15">
        <f t="shared" si="45"/>
        <v>265</v>
      </c>
      <c r="N326" s="15">
        <f t="shared" si="46"/>
        <v>88.333333333333329</v>
      </c>
      <c r="O326" s="14" t="str">
        <f t="shared" si="47"/>
        <v>Excellent</v>
      </c>
      <c r="P326" s="15">
        <f t="shared" si="48"/>
        <v>17.666666666666664</v>
      </c>
      <c r="Q326" s="14" t="str">
        <f t="shared" si="49"/>
        <v>No</v>
      </c>
      <c r="R326" s="14" t="str">
        <f t="shared" si="50"/>
        <v>Normal Students</v>
      </c>
      <c r="S326" s="14" t="str">
        <f t="shared" si="51"/>
        <v>Balanced Student</v>
      </c>
      <c r="T326" s="14" t="str">
        <f t="shared" si="52"/>
        <v>High</v>
      </c>
      <c r="U326" s="21" t="str">
        <f t="shared" si="53"/>
        <v>A</v>
      </c>
    </row>
    <row r="327" spans="2:21">
      <c r="B327" s="20">
        <v>324</v>
      </c>
      <c r="C327" s="14" t="s">
        <v>33</v>
      </c>
      <c r="D327" s="14" t="s">
        <v>12</v>
      </c>
      <c r="E327" s="14">
        <v>3</v>
      </c>
      <c r="F327" s="14">
        <v>82</v>
      </c>
      <c r="G327" s="14">
        <v>76</v>
      </c>
      <c r="H327" s="14">
        <v>75</v>
      </c>
      <c r="I327" s="14">
        <v>80</v>
      </c>
      <c r="J327" s="14" t="s">
        <v>16</v>
      </c>
      <c r="K327" s="14">
        <v>7</v>
      </c>
      <c r="L327" s="14">
        <v>4</v>
      </c>
      <c r="M327" s="15">
        <f t="shared" si="45"/>
        <v>231</v>
      </c>
      <c r="N327" s="15">
        <f t="shared" si="46"/>
        <v>77</v>
      </c>
      <c r="O327" s="14" t="str">
        <f t="shared" si="47"/>
        <v>Good</v>
      </c>
      <c r="P327" s="15">
        <f t="shared" si="48"/>
        <v>25.666666666666668</v>
      </c>
      <c r="Q327" s="14" t="str">
        <f t="shared" si="49"/>
        <v>No</v>
      </c>
      <c r="R327" s="14" t="str">
        <f t="shared" si="50"/>
        <v>Normal Students</v>
      </c>
      <c r="S327" s="14" t="str">
        <f t="shared" si="51"/>
        <v>Unbalanced Student</v>
      </c>
      <c r="T327" s="14" t="str">
        <f t="shared" si="52"/>
        <v>High</v>
      </c>
      <c r="U327" s="21" t="str">
        <f t="shared" si="53"/>
        <v>B</v>
      </c>
    </row>
    <row r="328" spans="2:21">
      <c r="B328" s="20">
        <v>325</v>
      </c>
      <c r="C328" s="14" t="s">
        <v>52</v>
      </c>
      <c r="D328" s="14" t="s">
        <v>15</v>
      </c>
      <c r="E328" s="14">
        <v>4</v>
      </c>
      <c r="F328" s="14">
        <v>85</v>
      </c>
      <c r="G328" s="14">
        <v>80</v>
      </c>
      <c r="H328" s="14">
        <v>82</v>
      </c>
      <c r="I328" s="14">
        <v>84</v>
      </c>
      <c r="J328" s="14" t="s">
        <v>13</v>
      </c>
      <c r="K328" s="14">
        <v>7</v>
      </c>
      <c r="L328" s="14">
        <v>3</v>
      </c>
      <c r="M328" s="15">
        <f t="shared" si="45"/>
        <v>246</v>
      </c>
      <c r="N328" s="15">
        <f t="shared" si="46"/>
        <v>82</v>
      </c>
      <c r="O328" s="14" t="str">
        <f t="shared" si="47"/>
        <v>Excellent</v>
      </c>
      <c r="P328" s="15">
        <f t="shared" si="48"/>
        <v>20.5</v>
      </c>
      <c r="Q328" s="14" t="str">
        <f t="shared" si="49"/>
        <v>No</v>
      </c>
      <c r="R328" s="14" t="str">
        <f t="shared" si="50"/>
        <v>Normal Students</v>
      </c>
      <c r="S328" s="14" t="str">
        <f t="shared" si="51"/>
        <v>Balanced Student</v>
      </c>
      <c r="T328" s="14" t="str">
        <f t="shared" si="52"/>
        <v>High</v>
      </c>
      <c r="U328" s="21" t="str">
        <f t="shared" si="53"/>
        <v>A</v>
      </c>
    </row>
    <row r="329" spans="2:21">
      <c r="B329" s="20">
        <v>326</v>
      </c>
      <c r="C329" s="14" t="s">
        <v>47</v>
      </c>
      <c r="D329" s="14" t="s">
        <v>12</v>
      </c>
      <c r="E329" s="14">
        <v>6</v>
      </c>
      <c r="F329" s="14">
        <v>94</v>
      </c>
      <c r="G329" s="14">
        <v>91</v>
      </c>
      <c r="H329" s="14">
        <v>90</v>
      </c>
      <c r="I329" s="14">
        <v>92</v>
      </c>
      <c r="J329" s="14" t="s">
        <v>16</v>
      </c>
      <c r="K329" s="14">
        <v>6</v>
      </c>
      <c r="L329" s="14">
        <v>2</v>
      </c>
      <c r="M329" s="15">
        <f t="shared" si="45"/>
        <v>273</v>
      </c>
      <c r="N329" s="15">
        <f t="shared" si="46"/>
        <v>91</v>
      </c>
      <c r="O329" s="14" t="str">
        <f t="shared" si="47"/>
        <v>Excellent</v>
      </c>
      <c r="P329" s="15">
        <f t="shared" si="48"/>
        <v>15.166666666666666</v>
      </c>
      <c r="Q329" s="14" t="str">
        <f t="shared" si="49"/>
        <v>No</v>
      </c>
      <c r="R329" s="14" t="str">
        <f t="shared" si="50"/>
        <v>Normal Students</v>
      </c>
      <c r="S329" s="14" t="str">
        <f t="shared" si="51"/>
        <v>Balanced Student</v>
      </c>
      <c r="T329" s="14" t="str">
        <f t="shared" si="52"/>
        <v>High</v>
      </c>
      <c r="U329" s="21" t="str">
        <f t="shared" si="53"/>
        <v>A</v>
      </c>
    </row>
    <row r="330" spans="2:21">
      <c r="B330" s="20">
        <v>327</v>
      </c>
      <c r="C330" s="14" t="s">
        <v>93</v>
      </c>
      <c r="D330" s="14" t="s">
        <v>15</v>
      </c>
      <c r="E330" s="14">
        <v>3</v>
      </c>
      <c r="F330" s="14">
        <v>79</v>
      </c>
      <c r="G330" s="14">
        <v>74</v>
      </c>
      <c r="H330" s="14">
        <v>72</v>
      </c>
      <c r="I330" s="14">
        <v>76</v>
      </c>
      <c r="J330" s="14" t="s">
        <v>13</v>
      </c>
      <c r="K330" s="14">
        <v>7</v>
      </c>
      <c r="L330" s="14">
        <v>4</v>
      </c>
      <c r="M330" s="15">
        <f t="shared" si="45"/>
        <v>222</v>
      </c>
      <c r="N330" s="15">
        <f t="shared" si="46"/>
        <v>74</v>
      </c>
      <c r="O330" s="14" t="str">
        <f t="shared" si="47"/>
        <v>Good</v>
      </c>
      <c r="P330" s="15">
        <f t="shared" si="48"/>
        <v>24.666666666666668</v>
      </c>
      <c r="Q330" s="14" t="str">
        <f t="shared" si="49"/>
        <v>No</v>
      </c>
      <c r="R330" s="14" t="str">
        <f t="shared" si="50"/>
        <v>Normal Students</v>
      </c>
      <c r="S330" s="14" t="str">
        <f t="shared" si="51"/>
        <v>Unbalanced Student</v>
      </c>
      <c r="T330" s="14" t="str">
        <f t="shared" si="52"/>
        <v>Medium</v>
      </c>
      <c r="U330" s="21" t="str">
        <f t="shared" si="53"/>
        <v>B</v>
      </c>
    </row>
    <row r="331" spans="2:21">
      <c r="B331" s="20">
        <v>328</v>
      </c>
      <c r="C331" s="14" t="s">
        <v>35</v>
      </c>
      <c r="D331" s="14" t="s">
        <v>12</v>
      </c>
      <c r="E331" s="14">
        <v>2</v>
      </c>
      <c r="F331" s="14">
        <v>70</v>
      </c>
      <c r="G331" s="14">
        <v>62</v>
      </c>
      <c r="H331" s="14">
        <v>60</v>
      </c>
      <c r="I331" s="14">
        <v>66</v>
      </c>
      <c r="J331" s="14" t="s">
        <v>16</v>
      </c>
      <c r="K331" s="14">
        <v>8</v>
      </c>
      <c r="L331" s="14">
        <v>5</v>
      </c>
      <c r="M331" s="15">
        <f t="shared" si="45"/>
        <v>188</v>
      </c>
      <c r="N331" s="15">
        <f t="shared" si="46"/>
        <v>62.666666666666664</v>
      </c>
      <c r="O331" s="14" t="str">
        <f t="shared" si="47"/>
        <v>Good</v>
      </c>
      <c r="P331" s="15">
        <f t="shared" si="48"/>
        <v>31.333333333333332</v>
      </c>
      <c r="Q331" s="14" t="str">
        <f t="shared" si="49"/>
        <v>No</v>
      </c>
      <c r="R331" s="14" t="str">
        <f t="shared" si="50"/>
        <v>Normal Students</v>
      </c>
      <c r="S331" s="14" t="str">
        <f t="shared" si="51"/>
        <v>Unbalanced Student</v>
      </c>
      <c r="T331" s="14" t="str">
        <f t="shared" si="52"/>
        <v>Medium</v>
      </c>
      <c r="U331" s="21" t="str">
        <f t="shared" si="53"/>
        <v>C</v>
      </c>
    </row>
    <row r="332" spans="2:21">
      <c r="B332" s="20">
        <v>329</v>
      </c>
      <c r="C332" s="14" t="s">
        <v>26</v>
      </c>
      <c r="D332" s="14" t="s">
        <v>15</v>
      </c>
      <c r="E332" s="14">
        <v>5</v>
      </c>
      <c r="F332" s="14">
        <v>90</v>
      </c>
      <c r="G332" s="14">
        <v>86</v>
      </c>
      <c r="H332" s="14">
        <v>88</v>
      </c>
      <c r="I332" s="14">
        <v>89</v>
      </c>
      <c r="J332" s="14" t="s">
        <v>13</v>
      </c>
      <c r="K332" s="14">
        <v>6</v>
      </c>
      <c r="L332" s="14">
        <v>2</v>
      </c>
      <c r="M332" s="15">
        <f t="shared" si="45"/>
        <v>263</v>
      </c>
      <c r="N332" s="15">
        <f t="shared" si="46"/>
        <v>87.666666666666671</v>
      </c>
      <c r="O332" s="14" t="str">
        <f t="shared" si="47"/>
        <v>Excellent</v>
      </c>
      <c r="P332" s="15">
        <f t="shared" si="48"/>
        <v>17.533333333333335</v>
      </c>
      <c r="Q332" s="14" t="str">
        <f t="shared" si="49"/>
        <v>No</v>
      </c>
      <c r="R332" s="14" t="str">
        <f t="shared" si="50"/>
        <v>Normal Students</v>
      </c>
      <c r="S332" s="14" t="str">
        <f t="shared" si="51"/>
        <v>Balanced Student</v>
      </c>
      <c r="T332" s="14" t="str">
        <f t="shared" si="52"/>
        <v>High</v>
      </c>
      <c r="U332" s="21" t="str">
        <f t="shared" si="53"/>
        <v>A</v>
      </c>
    </row>
    <row r="333" spans="2:21">
      <c r="B333" s="20">
        <v>330</v>
      </c>
      <c r="C333" s="14" t="s">
        <v>27</v>
      </c>
      <c r="D333" s="14" t="s">
        <v>12</v>
      </c>
      <c r="E333" s="14">
        <v>3</v>
      </c>
      <c r="F333" s="14">
        <v>80</v>
      </c>
      <c r="G333" s="14">
        <v>75</v>
      </c>
      <c r="H333" s="14">
        <v>73</v>
      </c>
      <c r="I333" s="14">
        <v>78</v>
      </c>
      <c r="J333" s="14" t="s">
        <v>13</v>
      </c>
      <c r="K333" s="14">
        <v>7</v>
      </c>
      <c r="L333" s="14">
        <v>4</v>
      </c>
      <c r="M333" s="15">
        <f t="shared" si="45"/>
        <v>226</v>
      </c>
      <c r="N333" s="15">
        <f t="shared" si="46"/>
        <v>75.333333333333329</v>
      </c>
      <c r="O333" s="14" t="str">
        <f t="shared" si="47"/>
        <v>Good</v>
      </c>
      <c r="P333" s="15">
        <f t="shared" si="48"/>
        <v>25.111111111111111</v>
      </c>
      <c r="Q333" s="14" t="str">
        <f t="shared" si="49"/>
        <v>No</v>
      </c>
      <c r="R333" s="14" t="str">
        <f t="shared" si="50"/>
        <v>Normal Students</v>
      </c>
      <c r="S333" s="14" t="str">
        <f t="shared" si="51"/>
        <v>Unbalanced Student</v>
      </c>
      <c r="T333" s="14" t="str">
        <f t="shared" si="52"/>
        <v>High</v>
      </c>
      <c r="U333" s="21" t="str">
        <f t="shared" si="53"/>
        <v>B</v>
      </c>
    </row>
    <row r="334" spans="2:21">
      <c r="B334" s="20">
        <v>331</v>
      </c>
      <c r="C334" s="14" t="s">
        <v>64</v>
      </c>
      <c r="D334" s="14" t="s">
        <v>15</v>
      </c>
      <c r="E334" s="14">
        <v>4</v>
      </c>
      <c r="F334" s="14">
        <v>87</v>
      </c>
      <c r="G334" s="14">
        <v>83</v>
      </c>
      <c r="H334" s="14">
        <v>81</v>
      </c>
      <c r="I334" s="14">
        <v>85</v>
      </c>
      <c r="J334" s="14" t="s">
        <v>13</v>
      </c>
      <c r="K334" s="14">
        <v>6</v>
      </c>
      <c r="L334" s="14">
        <v>3</v>
      </c>
      <c r="M334" s="15">
        <f t="shared" si="45"/>
        <v>249</v>
      </c>
      <c r="N334" s="15">
        <f t="shared" si="46"/>
        <v>83</v>
      </c>
      <c r="O334" s="14" t="str">
        <f t="shared" si="47"/>
        <v>Excellent</v>
      </c>
      <c r="P334" s="15">
        <f t="shared" si="48"/>
        <v>20.75</v>
      </c>
      <c r="Q334" s="14" t="str">
        <f t="shared" si="49"/>
        <v>No</v>
      </c>
      <c r="R334" s="14" t="str">
        <f t="shared" si="50"/>
        <v>Normal Students</v>
      </c>
      <c r="S334" s="14" t="str">
        <f t="shared" si="51"/>
        <v>Balanced Student</v>
      </c>
      <c r="T334" s="14" t="str">
        <f t="shared" si="52"/>
        <v>High</v>
      </c>
      <c r="U334" s="21" t="str">
        <f t="shared" si="53"/>
        <v>A</v>
      </c>
    </row>
    <row r="335" spans="2:21">
      <c r="B335" s="20">
        <v>332</v>
      </c>
      <c r="C335" s="14" t="s">
        <v>29</v>
      </c>
      <c r="D335" s="14" t="s">
        <v>12</v>
      </c>
      <c r="E335" s="14">
        <v>2</v>
      </c>
      <c r="F335" s="14">
        <v>68</v>
      </c>
      <c r="G335" s="14">
        <v>60</v>
      </c>
      <c r="H335" s="14">
        <v>58</v>
      </c>
      <c r="I335" s="14">
        <v>64</v>
      </c>
      <c r="J335" s="14" t="s">
        <v>16</v>
      </c>
      <c r="K335" s="14">
        <v>8</v>
      </c>
      <c r="L335" s="14">
        <v>5</v>
      </c>
      <c r="M335" s="15">
        <f t="shared" si="45"/>
        <v>182</v>
      </c>
      <c r="N335" s="15">
        <f t="shared" si="46"/>
        <v>60.666666666666664</v>
      </c>
      <c r="O335" s="14" t="str">
        <f t="shared" si="47"/>
        <v>Good</v>
      </c>
      <c r="P335" s="15">
        <f t="shared" si="48"/>
        <v>30.333333333333332</v>
      </c>
      <c r="Q335" s="14" t="str">
        <f t="shared" si="49"/>
        <v>No</v>
      </c>
      <c r="R335" s="14" t="str">
        <f t="shared" si="50"/>
        <v>Normal Students</v>
      </c>
      <c r="S335" s="14" t="str">
        <f t="shared" si="51"/>
        <v>Unbalanced Student</v>
      </c>
      <c r="T335" s="14" t="str">
        <f t="shared" si="52"/>
        <v>Medium</v>
      </c>
      <c r="U335" s="21" t="str">
        <f t="shared" si="53"/>
        <v>C</v>
      </c>
    </row>
    <row r="336" spans="2:21">
      <c r="B336" s="20">
        <v>333</v>
      </c>
      <c r="C336" s="14" t="s">
        <v>62</v>
      </c>
      <c r="D336" s="14" t="s">
        <v>15</v>
      </c>
      <c r="E336" s="14">
        <v>5</v>
      </c>
      <c r="F336" s="14">
        <v>92</v>
      </c>
      <c r="G336" s="14">
        <v>88</v>
      </c>
      <c r="H336" s="14">
        <v>90</v>
      </c>
      <c r="I336" s="14">
        <v>91</v>
      </c>
      <c r="J336" s="14" t="s">
        <v>13</v>
      </c>
      <c r="K336" s="14">
        <v>6</v>
      </c>
      <c r="L336" s="14">
        <v>2</v>
      </c>
      <c r="M336" s="15">
        <f t="shared" si="45"/>
        <v>269</v>
      </c>
      <c r="N336" s="15">
        <f t="shared" si="46"/>
        <v>89.666666666666671</v>
      </c>
      <c r="O336" s="14" t="str">
        <f t="shared" si="47"/>
        <v>Excellent</v>
      </c>
      <c r="P336" s="15">
        <f t="shared" si="48"/>
        <v>17.933333333333334</v>
      </c>
      <c r="Q336" s="14" t="str">
        <f t="shared" si="49"/>
        <v>No</v>
      </c>
      <c r="R336" s="14" t="str">
        <f t="shared" si="50"/>
        <v>Normal Students</v>
      </c>
      <c r="S336" s="14" t="str">
        <f t="shared" si="51"/>
        <v>Balanced Student</v>
      </c>
      <c r="T336" s="14" t="str">
        <f t="shared" si="52"/>
        <v>High</v>
      </c>
      <c r="U336" s="21" t="str">
        <f t="shared" si="53"/>
        <v>A</v>
      </c>
    </row>
    <row r="337" spans="2:21">
      <c r="B337" s="20">
        <v>334</v>
      </c>
      <c r="C337" s="14" t="s">
        <v>49</v>
      </c>
      <c r="D337" s="14" t="s">
        <v>12</v>
      </c>
      <c r="E337" s="14">
        <v>3</v>
      </c>
      <c r="F337" s="14">
        <v>78</v>
      </c>
      <c r="G337" s="14">
        <v>72</v>
      </c>
      <c r="H337" s="14">
        <v>70</v>
      </c>
      <c r="I337" s="14">
        <v>75</v>
      </c>
      <c r="J337" s="14" t="s">
        <v>13</v>
      </c>
      <c r="K337" s="14">
        <v>7</v>
      </c>
      <c r="L337" s="14">
        <v>4</v>
      </c>
      <c r="M337" s="15">
        <f t="shared" si="45"/>
        <v>217</v>
      </c>
      <c r="N337" s="15">
        <f t="shared" si="46"/>
        <v>72.333333333333329</v>
      </c>
      <c r="O337" s="14" t="str">
        <f t="shared" si="47"/>
        <v>Good</v>
      </c>
      <c r="P337" s="15">
        <f t="shared" si="48"/>
        <v>24.111111111111111</v>
      </c>
      <c r="Q337" s="14" t="str">
        <f t="shared" si="49"/>
        <v>No</v>
      </c>
      <c r="R337" s="14" t="str">
        <f t="shared" si="50"/>
        <v>Normal Students</v>
      </c>
      <c r="S337" s="14" t="str">
        <f t="shared" si="51"/>
        <v>Unbalanced Student</v>
      </c>
      <c r="T337" s="14" t="str">
        <f t="shared" si="52"/>
        <v>Medium</v>
      </c>
      <c r="U337" s="21" t="str">
        <f t="shared" si="53"/>
        <v>B</v>
      </c>
    </row>
    <row r="338" spans="2:21">
      <c r="B338" s="20">
        <v>335</v>
      </c>
      <c r="C338" s="14" t="s">
        <v>38</v>
      </c>
      <c r="D338" s="14" t="s">
        <v>15</v>
      </c>
      <c r="E338" s="14">
        <v>4</v>
      </c>
      <c r="F338" s="14">
        <v>85</v>
      </c>
      <c r="G338" s="14">
        <v>80</v>
      </c>
      <c r="H338" s="14">
        <v>82</v>
      </c>
      <c r="I338" s="14">
        <v>84</v>
      </c>
      <c r="J338" s="14" t="s">
        <v>13</v>
      </c>
      <c r="K338" s="14">
        <v>7</v>
      </c>
      <c r="L338" s="14">
        <v>3</v>
      </c>
      <c r="M338" s="15">
        <f t="shared" si="45"/>
        <v>246</v>
      </c>
      <c r="N338" s="15">
        <f t="shared" si="46"/>
        <v>82</v>
      </c>
      <c r="O338" s="14" t="str">
        <f t="shared" si="47"/>
        <v>Excellent</v>
      </c>
      <c r="P338" s="15">
        <f t="shared" si="48"/>
        <v>20.5</v>
      </c>
      <c r="Q338" s="14" t="str">
        <f t="shared" si="49"/>
        <v>No</v>
      </c>
      <c r="R338" s="14" t="str">
        <f t="shared" si="50"/>
        <v>Normal Students</v>
      </c>
      <c r="S338" s="14" t="str">
        <f t="shared" si="51"/>
        <v>Balanced Student</v>
      </c>
      <c r="T338" s="14" t="str">
        <f t="shared" si="52"/>
        <v>High</v>
      </c>
      <c r="U338" s="21" t="str">
        <f t="shared" si="53"/>
        <v>A</v>
      </c>
    </row>
    <row r="339" spans="2:21">
      <c r="B339" s="20">
        <v>336</v>
      </c>
      <c r="C339" s="14" t="s">
        <v>164</v>
      </c>
      <c r="D339" s="14" t="s">
        <v>12</v>
      </c>
      <c r="E339" s="14">
        <v>6</v>
      </c>
      <c r="F339" s="14">
        <v>94</v>
      </c>
      <c r="G339" s="14">
        <v>91</v>
      </c>
      <c r="H339" s="14">
        <v>90</v>
      </c>
      <c r="I339" s="14">
        <v>92</v>
      </c>
      <c r="J339" s="14" t="s">
        <v>16</v>
      </c>
      <c r="K339" s="14">
        <v>6</v>
      </c>
      <c r="L339" s="14">
        <v>2</v>
      </c>
      <c r="M339" s="15">
        <f t="shared" si="45"/>
        <v>273</v>
      </c>
      <c r="N339" s="15">
        <f t="shared" si="46"/>
        <v>91</v>
      </c>
      <c r="O339" s="14" t="str">
        <f t="shared" si="47"/>
        <v>Excellent</v>
      </c>
      <c r="P339" s="15">
        <f t="shared" si="48"/>
        <v>15.166666666666666</v>
      </c>
      <c r="Q339" s="14" t="str">
        <f t="shared" si="49"/>
        <v>No</v>
      </c>
      <c r="R339" s="14" t="str">
        <f t="shared" si="50"/>
        <v>Normal Students</v>
      </c>
      <c r="S339" s="14" t="str">
        <f t="shared" si="51"/>
        <v>Balanced Student</v>
      </c>
      <c r="T339" s="14" t="str">
        <f t="shared" si="52"/>
        <v>High</v>
      </c>
      <c r="U339" s="21" t="str">
        <f t="shared" si="53"/>
        <v>A</v>
      </c>
    </row>
    <row r="340" spans="2:21">
      <c r="B340" s="20">
        <v>337</v>
      </c>
      <c r="C340" s="14" t="s">
        <v>36</v>
      </c>
      <c r="D340" s="14" t="s">
        <v>15</v>
      </c>
      <c r="E340" s="14">
        <v>3</v>
      </c>
      <c r="F340" s="14">
        <v>79</v>
      </c>
      <c r="G340" s="14">
        <v>74</v>
      </c>
      <c r="H340" s="14">
        <v>72</v>
      </c>
      <c r="I340" s="14">
        <v>76</v>
      </c>
      <c r="J340" s="14" t="s">
        <v>13</v>
      </c>
      <c r="K340" s="14">
        <v>7</v>
      </c>
      <c r="L340" s="14">
        <v>4</v>
      </c>
      <c r="M340" s="15">
        <f t="shared" si="45"/>
        <v>222</v>
      </c>
      <c r="N340" s="15">
        <f t="shared" si="46"/>
        <v>74</v>
      </c>
      <c r="O340" s="14" t="str">
        <f t="shared" si="47"/>
        <v>Good</v>
      </c>
      <c r="P340" s="15">
        <f t="shared" si="48"/>
        <v>24.666666666666668</v>
      </c>
      <c r="Q340" s="14" t="str">
        <f t="shared" si="49"/>
        <v>No</v>
      </c>
      <c r="R340" s="14" t="str">
        <f t="shared" si="50"/>
        <v>Normal Students</v>
      </c>
      <c r="S340" s="14" t="str">
        <f t="shared" si="51"/>
        <v>Unbalanced Student</v>
      </c>
      <c r="T340" s="14" t="str">
        <f t="shared" si="52"/>
        <v>Medium</v>
      </c>
      <c r="U340" s="21" t="str">
        <f t="shared" si="53"/>
        <v>B</v>
      </c>
    </row>
    <row r="341" spans="2:21">
      <c r="B341" s="20">
        <v>338</v>
      </c>
      <c r="C341" s="14" t="s">
        <v>23</v>
      </c>
      <c r="D341" s="14" t="s">
        <v>12</v>
      </c>
      <c r="E341" s="14">
        <v>2</v>
      </c>
      <c r="F341" s="14">
        <v>70</v>
      </c>
      <c r="G341" s="14">
        <v>62</v>
      </c>
      <c r="H341" s="14">
        <v>60</v>
      </c>
      <c r="I341" s="14">
        <v>66</v>
      </c>
      <c r="J341" s="14" t="s">
        <v>16</v>
      </c>
      <c r="K341" s="14">
        <v>8</v>
      </c>
      <c r="L341" s="14">
        <v>5</v>
      </c>
      <c r="M341" s="15">
        <f t="shared" si="45"/>
        <v>188</v>
      </c>
      <c r="N341" s="15">
        <f t="shared" si="46"/>
        <v>62.666666666666664</v>
      </c>
      <c r="O341" s="14" t="str">
        <f t="shared" si="47"/>
        <v>Good</v>
      </c>
      <c r="P341" s="15">
        <f t="shared" si="48"/>
        <v>31.333333333333332</v>
      </c>
      <c r="Q341" s="14" t="str">
        <f t="shared" si="49"/>
        <v>No</v>
      </c>
      <c r="R341" s="14" t="str">
        <f t="shared" si="50"/>
        <v>Normal Students</v>
      </c>
      <c r="S341" s="14" t="str">
        <f t="shared" si="51"/>
        <v>Unbalanced Student</v>
      </c>
      <c r="T341" s="14" t="str">
        <f t="shared" si="52"/>
        <v>Medium</v>
      </c>
      <c r="U341" s="21" t="str">
        <f t="shared" si="53"/>
        <v>C</v>
      </c>
    </row>
    <row r="342" spans="2:21">
      <c r="B342" s="20">
        <v>339</v>
      </c>
      <c r="C342" s="14" t="s">
        <v>58</v>
      </c>
      <c r="D342" s="14" t="s">
        <v>15</v>
      </c>
      <c r="E342" s="14">
        <v>5</v>
      </c>
      <c r="F342" s="14">
        <v>90</v>
      </c>
      <c r="G342" s="14">
        <v>86</v>
      </c>
      <c r="H342" s="14">
        <v>88</v>
      </c>
      <c r="I342" s="14">
        <v>89</v>
      </c>
      <c r="J342" s="14" t="s">
        <v>13</v>
      </c>
      <c r="K342" s="14">
        <v>6</v>
      </c>
      <c r="L342" s="14">
        <v>2</v>
      </c>
      <c r="M342" s="15">
        <f t="shared" si="45"/>
        <v>263</v>
      </c>
      <c r="N342" s="15">
        <f t="shared" si="46"/>
        <v>87.666666666666671</v>
      </c>
      <c r="O342" s="14" t="str">
        <f t="shared" si="47"/>
        <v>Excellent</v>
      </c>
      <c r="P342" s="15">
        <f t="shared" si="48"/>
        <v>17.533333333333335</v>
      </c>
      <c r="Q342" s="14" t="str">
        <f t="shared" si="49"/>
        <v>No</v>
      </c>
      <c r="R342" s="14" t="str">
        <f t="shared" si="50"/>
        <v>Normal Students</v>
      </c>
      <c r="S342" s="14" t="str">
        <f t="shared" si="51"/>
        <v>Balanced Student</v>
      </c>
      <c r="T342" s="14" t="str">
        <f t="shared" si="52"/>
        <v>High</v>
      </c>
      <c r="U342" s="21" t="str">
        <f t="shared" si="53"/>
        <v>A</v>
      </c>
    </row>
    <row r="343" spans="2:21">
      <c r="B343" s="20">
        <v>340</v>
      </c>
      <c r="C343" s="14" t="s">
        <v>59</v>
      </c>
      <c r="D343" s="14" t="s">
        <v>12</v>
      </c>
      <c r="E343" s="14">
        <v>3</v>
      </c>
      <c r="F343" s="14">
        <v>82</v>
      </c>
      <c r="G343" s="14">
        <v>76</v>
      </c>
      <c r="H343" s="14">
        <v>75</v>
      </c>
      <c r="I343" s="14">
        <v>80</v>
      </c>
      <c r="J343" s="14" t="s">
        <v>16</v>
      </c>
      <c r="K343" s="14">
        <v>7</v>
      </c>
      <c r="L343" s="14">
        <v>4</v>
      </c>
      <c r="M343" s="15">
        <f t="shared" si="45"/>
        <v>231</v>
      </c>
      <c r="N343" s="15">
        <f t="shared" si="46"/>
        <v>77</v>
      </c>
      <c r="O343" s="14" t="str">
        <f t="shared" si="47"/>
        <v>Good</v>
      </c>
      <c r="P343" s="15">
        <f t="shared" si="48"/>
        <v>25.666666666666668</v>
      </c>
      <c r="Q343" s="14" t="str">
        <f t="shared" si="49"/>
        <v>No</v>
      </c>
      <c r="R343" s="14" t="str">
        <f t="shared" si="50"/>
        <v>Normal Students</v>
      </c>
      <c r="S343" s="14" t="str">
        <f t="shared" si="51"/>
        <v>Unbalanced Student</v>
      </c>
      <c r="T343" s="14" t="str">
        <f t="shared" si="52"/>
        <v>High</v>
      </c>
      <c r="U343" s="21" t="str">
        <f t="shared" si="53"/>
        <v>B</v>
      </c>
    </row>
    <row r="344" spans="2:21">
      <c r="B344" s="20">
        <v>341</v>
      </c>
      <c r="C344" s="14" t="s">
        <v>32</v>
      </c>
      <c r="D344" s="14" t="s">
        <v>15</v>
      </c>
      <c r="E344" s="14">
        <v>4</v>
      </c>
      <c r="F344" s="14">
        <v>87</v>
      </c>
      <c r="G344" s="14">
        <v>83</v>
      </c>
      <c r="H344" s="14">
        <v>81</v>
      </c>
      <c r="I344" s="14">
        <v>85</v>
      </c>
      <c r="J344" s="14" t="s">
        <v>13</v>
      </c>
      <c r="K344" s="14">
        <v>6</v>
      </c>
      <c r="L344" s="14">
        <v>3</v>
      </c>
      <c r="M344" s="15">
        <f t="shared" si="45"/>
        <v>249</v>
      </c>
      <c r="N344" s="15">
        <f t="shared" si="46"/>
        <v>83</v>
      </c>
      <c r="O344" s="14" t="str">
        <f t="shared" si="47"/>
        <v>Excellent</v>
      </c>
      <c r="P344" s="15">
        <f t="shared" si="48"/>
        <v>20.75</v>
      </c>
      <c r="Q344" s="14" t="str">
        <f t="shared" si="49"/>
        <v>No</v>
      </c>
      <c r="R344" s="14" t="str">
        <f t="shared" si="50"/>
        <v>Normal Students</v>
      </c>
      <c r="S344" s="14" t="str">
        <f t="shared" si="51"/>
        <v>Balanced Student</v>
      </c>
      <c r="T344" s="14" t="str">
        <f t="shared" si="52"/>
        <v>High</v>
      </c>
      <c r="U344" s="21" t="str">
        <f t="shared" si="53"/>
        <v>A</v>
      </c>
    </row>
    <row r="345" spans="2:21">
      <c r="B345" s="20">
        <v>342</v>
      </c>
      <c r="C345" s="14" t="s">
        <v>45</v>
      </c>
      <c r="D345" s="14" t="s">
        <v>12</v>
      </c>
      <c r="E345" s="14">
        <v>2</v>
      </c>
      <c r="F345" s="14">
        <v>68</v>
      </c>
      <c r="G345" s="14">
        <v>60</v>
      </c>
      <c r="H345" s="14">
        <v>58</v>
      </c>
      <c r="I345" s="14">
        <v>64</v>
      </c>
      <c r="J345" s="14" t="s">
        <v>16</v>
      </c>
      <c r="K345" s="14">
        <v>8</v>
      </c>
      <c r="L345" s="14">
        <v>5</v>
      </c>
      <c r="M345" s="15">
        <f t="shared" si="45"/>
        <v>182</v>
      </c>
      <c r="N345" s="15">
        <f t="shared" si="46"/>
        <v>60.666666666666664</v>
      </c>
      <c r="O345" s="14" t="str">
        <f t="shared" si="47"/>
        <v>Good</v>
      </c>
      <c r="P345" s="15">
        <f t="shared" si="48"/>
        <v>30.333333333333332</v>
      </c>
      <c r="Q345" s="14" t="str">
        <f t="shared" si="49"/>
        <v>No</v>
      </c>
      <c r="R345" s="14" t="str">
        <f t="shared" si="50"/>
        <v>Normal Students</v>
      </c>
      <c r="S345" s="14" t="str">
        <f t="shared" si="51"/>
        <v>Unbalanced Student</v>
      </c>
      <c r="T345" s="14" t="str">
        <f t="shared" si="52"/>
        <v>Medium</v>
      </c>
      <c r="U345" s="21" t="str">
        <f t="shared" si="53"/>
        <v>C</v>
      </c>
    </row>
    <row r="346" spans="2:21">
      <c r="B346" s="20">
        <v>343</v>
      </c>
      <c r="C346" s="14" t="s">
        <v>155</v>
      </c>
      <c r="D346" s="14" t="s">
        <v>15</v>
      </c>
      <c r="E346" s="14">
        <v>5</v>
      </c>
      <c r="F346" s="14">
        <v>92</v>
      </c>
      <c r="G346" s="14">
        <v>88</v>
      </c>
      <c r="H346" s="14">
        <v>90</v>
      </c>
      <c r="I346" s="14">
        <v>91</v>
      </c>
      <c r="J346" s="14" t="s">
        <v>13</v>
      </c>
      <c r="K346" s="14">
        <v>6</v>
      </c>
      <c r="L346" s="14">
        <v>2</v>
      </c>
      <c r="M346" s="15">
        <f t="shared" si="45"/>
        <v>269</v>
      </c>
      <c r="N346" s="15">
        <f t="shared" si="46"/>
        <v>89.666666666666671</v>
      </c>
      <c r="O346" s="14" t="str">
        <f t="shared" si="47"/>
        <v>Excellent</v>
      </c>
      <c r="P346" s="15">
        <f t="shared" si="48"/>
        <v>17.933333333333334</v>
      </c>
      <c r="Q346" s="14" t="str">
        <f t="shared" si="49"/>
        <v>No</v>
      </c>
      <c r="R346" s="14" t="str">
        <f t="shared" si="50"/>
        <v>Normal Students</v>
      </c>
      <c r="S346" s="14" t="str">
        <f t="shared" si="51"/>
        <v>Balanced Student</v>
      </c>
      <c r="T346" s="14" t="str">
        <f t="shared" si="52"/>
        <v>High</v>
      </c>
      <c r="U346" s="21" t="str">
        <f t="shared" si="53"/>
        <v>A</v>
      </c>
    </row>
    <row r="347" spans="2:21">
      <c r="B347" s="20">
        <v>344</v>
      </c>
      <c r="C347" s="14" t="s">
        <v>63</v>
      </c>
      <c r="D347" s="14" t="s">
        <v>12</v>
      </c>
      <c r="E347" s="14">
        <v>3</v>
      </c>
      <c r="F347" s="14">
        <v>78</v>
      </c>
      <c r="G347" s="14">
        <v>72</v>
      </c>
      <c r="H347" s="14">
        <v>70</v>
      </c>
      <c r="I347" s="14">
        <v>75</v>
      </c>
      <c r="J347" s="14" t="s">
        <v>13</v>
      </c>
      <c r="K347" s="14">
        <v>7</v>
      </c>
      <c r="L347" s="14">
        <v>4</v>
      </c>
      <c r="M347" s="15">
        <f t="shared" si="45"/>
        <v>217</v>
      </c>
      <c r="N347" s="15">
        <f t="shared" si="46"/>
        <v>72.333333333333329</v>
      </c>
      <c r="O347" s="14" t="str">
        <f t="shared" si="47"/>
        <v>Good</v>
      </c>
      <c r="P347" s="15">
        <f t="shared" si="48"/>
        <v>24.111111111111111</v>
      </c>
      <c r="Q347" s="14" t="str">
        <f t="shared" si="49"/>
        <v>No</v>
      </c>
      <c r="R347" s="14" t="str">
        <f t="shared" si="50"/>
        <v>Normal Students</v>
      </c>
      <c r="S347" s="14" t="str">
        <f t="shared" si="51"/>
        <v>Unbalanced Student</v>
      </c>
      <c r="T347" s="14" t="str">
        <f t="shared" si="52"/>
        <v>Medium</v>
      </c>
      <c r="U347" s="21" t="str">
        <f t="shared" si="53"/>
        <v>B</v>
      </c>
    </row>
    <row r="348" spans="2:21">
      <c r="B348" s="20">
        <v>345</v>
      </c>
      <c r="C348" s="14" t="s">
        <v>72</v>
      </c>
      <c r="D348" s="14" t="s">
        <v>12</v>
      </c>
      <c r="E348" s="14">
        <v>4</v>
      </c>
      <c r="F348" s="14">
        <v>85</v>
      </c>
      <c r="G348" s="14">
        <v>80</v>
      </c>
      <c r="H348" s="14">
        <v>82</v>
      </c>
      <c r="I348" s="14">
        <v>84</v>
      </c>
      <c r="J348" s="14" t="s">
        <v>13</v>
      </c>
      <c r="K348" s="14">
        <v>7</v>
      </c>
      <c r="L348" s="14">
        <v>3</v>
      </c>
      <c r="M348" s="15">
        <f t="shared" si="45"/>
        <v>246</v>
      </c>
      <c r="N348" s="15">
        <f t="shared" si="46"/>
        <v>82</v>
      </c>
      <c r="O348" s="14" t="str">
        <f t="shared" si="47"/>
        <v>Excellent</v>
      </c>
      <c r="P348" s="15">
        <f t="shared" si="48"/>
        <v>20.5</v>
      </c>
      <c r="Q348" s="14" t="str">
        <f t="shared" si="49"/>
        <v>No</v>
      </c>
      <c r="R348" s="14" t="str">
        <f t="shared" si="50"/>
        <v>Normal Students</v>
      </c>
      <c r="S348" s="14" t="str">
        <f t="shared" si="51"/>
        <v>Balanced Student</v>
      </c>
      <c r="T348" s="14" t="str">
        <f t="shared" si="52"/>
        <v>High</v>
      </c>
      <c r="U348" s="21" t="str">
        <f t="shared" si="53"/>
        <v>A</v>
      </c>
    </row>
    <row r="349" spans="2:21">
      <c r="B349" s="20">
        <v>346</v>
      </c>
      <c r="C349" s="14" t="s">
        <v>30</v>
      </c>
      <c r="D349" s="14" t="s">
        <v>15</v>
      </c>
      <c r="E349" s="14">
        <v>6</v>
      </c>
      <c r="F349" s="14">
        <v>94</v>
      </c>
      <c r="G349" s="14">
        <v>91</v>
      </c>
      <c r="H349" s="14">
        <v>90</v>
      </c>
      <c r="I349" s="14">
        <v>92</v>
      </c>
      <c r="J349" s="14" t="s">
        <v>16</v>
      </c>
      <c r="K349" s="14">
        <v>6</v>
      </c>
      <c r="L349" s="14">
        <v>2</v>
      </c>
      <c r="M349" s="15">
        <f t="shared" si="45"/>
        <v>273</v>
      </c>
      <c r="N349" s="15">
        <f t="shared" si="46"/>
        <v>91</v>
      </c>
      <c r="O349" s="14" t="str">
        <f t="shared" si="47"/>
        <v>Excellent</v>
      </c>
      <c r="P349" s="15">
        <f t="shared" si="48"/>
        <v>15.166666666666666</v>
      </c>
      <c r="Q349" s="14" t="str">
        <f t="shared" si="49"/>
        <v>No</v>
      </c>
      <c r="R349" s="14" t="str">
        <f t="shared" si="50"/>
        <v>Normal Students</v>
      </c>
      <c r="S349" s="14" t="str">
        <f t="shared" si="51"/>
        <v>Balanced Student</v>
      </c>
      <c r="T349" s="14" t="str">
        <f t="shared" si="52"/>
        <v>High</v>
      </c>
      <c r="U349" s="21" t="str">
        <f t="shared" si="53"/>
        <v>A</v>
      </c>
    </row>
    <row r="350" spans="2:21">
      <c r="B350" s="20">
        <v>347</v>
      </c>
      <c r="C350" s="14" t="s">
        <v>165</v>
      </c>
      <c r="D350" s="14" t="s">
        <v>15</v>
      </c>
      <c r="E350" s="14">
        <v>3</v>
      </c>
      <c r="F350" s="14">
        <v>79</v>
      </c>
      <c r="G350" s="14">
        <v>74</v>
      </c>
      <c r="H350" s="14">
        <v>72</v>
      </c>
      <c r="I350" s="14">
        <v>76</v>
      </c>
      <c r="J350" s="14" t="s">
        <v>13</v>
      </c>
      <c r="K350" s="14">
        <v>7</v>
      </c>
      <c r="L350" s="14">
        <v>4</v>
      </c>
      <c r="M350" s="15">
        <f t="shared" si="45"/>
        <v>222</v>
      </c>
      <c r="N350" s="15">
        <f t="shared" si="46"/>
        <v>74</v>
      </c>
      <c r="O350" s="14" t="str">
        <f t="shared" si="47"/>
        <v>Good</v>
      </c>
      <c r="P350" s="15">
        <f t="shared" si="48"/>
        <v>24.666666666666668</v>
      </c>
      <c r="Q350" s="14" t="str">
        <f t="shared" si="49"/>
        <v>No</v>
      </c>
      <c r="R350" s="14" t="str">
        <f t="shared" si="50"/>
        <v>Normal Students</v>
      </c>
      <c r="S350" s="14" t="str">
        <f t="shared" si="51"/>
        <v>Unbalanced Student</v>
      </c>
      <c r="T350" s="14" t="str">
        <f t="shared" si="52"/>
        <v>Medium</v>
      </c>
      <c r="U350" s="21" t="str">
        <f t="shared" si="53"/>
        <v>B</v>
      </c>
    </row>
    <row r="351" spans="2:21">
      <c r="B351" s="20">
        <v>348</v>
      </c>
      <c r="C351" s="14" t="s">
        <v>85</v>
      </c>
      <c r="D351" s="14" t="s">
        <v>12</v>
      </c>
      <c r="E351" s="14">
        <v>2</v>
      </c>
      <c r="F351" s="14">
        <v>70</v>
      </c>
      <c r="G351" s="14">
        <v>62</v>
      </c>
      <c r="H351" s="14">
        <v>60</v>
      </c>
      <c r="I351" s="14">
        <v>66</v>
      </c>
      <c r="J351" s="14" t="s">
        <v>16</v>
      </c>
      <c r="K351" s="14">
        <v>8</v>
      </c>
      <c r="L351" s="14">
        <v>5</v>
      </c>
      <c r="M351" s="15">
        <f t="shared" si="45"/>
        <v>188</v>
      </c>
      <c r="N351" s="15">
        <f t="shared" si="46"/>
        <v>62.666666666666664</v>
      </c>
      <c r="O351" s="14" t="str">
        <f t="shared" si="47"/>
        <v>Good</v>
      </c>
      <c r="P351" s="15">
        <f t="shared" si="48"/>
        <v>31.333333333333332</v>
      </c>
      <c r="Q351" s="14" t="str">
        <f t="shared" si="49"/>
        <v>No</v>
      </c>
      <c r="R351" s="14" t="str">
        <f t="shared" si="50"/>
        <v>Normal Students</v>
      </c>
      <c r="S351" s="14" t="str">
        <f t="shared" si="51"/>
        <v>Unbalanced Student</v>
      </c>
      <c r="T351" s="14" t="str">
        <f t="shared" si="52"/>
        <v>Medium</v>
      </c>
      <c r="U351" s="21" t="str">
        <f t="shared" si="53"/>
        <v>C</v>
      </c>
    </row>
    <row r="352" spans="2:21">
      <c r="B352" s="20">
        <v>349</v>
      </c>
      <c r="C352" s="14" t="s">
        <v>144</v>
      </c>
      <c r="D352" s="14" t="s">
        <v>15</v>
      </c>
      <c r="E352" s="14">
        <v>5</v>
      </c>
      <c r="F352" s="14">
        <v>90</v>
      </c>
      <c r="G352" s="14">
        <v>86</v>
      </c>
      <c r="H352" s="14">
        <v>88</v>
      </c>
      <c r="I352" s="14">
        <v>89</v>
      </c>
      <c r="J352" s="14" t="s">
        <v>13</v>
      </c>
      <c r="K352" s="14">
        <v>6</v>
      </c>
      <c r="L352" s="14">
        <v>2</v>
      </c>
      <c r="M352" s="15">
        <f t="shared" si="45"/>
        <v>263</v>
      </c>
      <c r="N352" s="15">
        <f t="shared" si="46"/>
        <v>87.666666666666671</v>
      </c>
      <c r="O352" s="14" t="str">
        <f t="shared" si="47"/>
        <v>Excellent</v>
      </c>
      <c r="P352" s="15">
        <f t="shared" si="48"/>
        <v>17.533333333333335</v>
      </c>
      <c r="Q352" s="14" t="str">
        <f t="shared" si="49"/>
        <v>No</v>
      </c>
      <c r="R352" s="14" t="str">
        <f t="shared" si="50"/>
        <v>Normal Students</v>
      </c>
      <c r="S352" s="14" t="str">
        <f t="shared" si="51"/>
        <v>Balanced Student</v>
      </c>
      <c r="T352" s="14" t="str">
        <f t="shared" si="52"/>
        <v>High</v>
      </c>
      <c r="U352" s="21" t="str">
        <f t="shared" si="53"/>
        <v>A</v>
      </c>
    </row>
    <row r="353" spans="2:21">
      <c r="B353" s="20">
        <v>350</v>
      </c>
      <c r="C353" s="14" t="s">
        <v>147</v>
      </c>
      <c r="D353" s="14" t="s">
        <v>12</v>
      </c>
      <c r="E353" s="14">
        <v>3</v>
      </c>
      <c r="F353" s="14">
        <v>82</v>
      </c>
      <c r="G353" s="14">
        <v>76</v>
      </c>
      <c r="H353" s="14">
        <v>75</v>
      </c>
      <c r="I353" s="14">
        <v>80</v>
      </c>
      <c r="J353" s="14" t="s">
        <v>16</v>
      </c>
      <c r="K353" s="14">
        <v>7</v>
      </c>
      <c r="L353" s="14">
        <v>4</v>
      </c>
      <c r="M353" s="15">
        <f t="shared" si="45"/>
        <v>231</v>
      </c>
      <c r="N353" s="15">
        <f t="shared" si="46"/>
        <v>77</v>
      </c>
      <c r="O353" s="14" t="str">
        <f t="shared" si="47"/>
        <v>Good</v>
      </c>
      <c r="P353" s="15">
        <f t="shared" si="48"/>
        <v>25.666666666666668</v>
      </c>
      <c r="Q353" s="14" t="str">
        <f t="shared" si="49"/>
        <v>No</v>
      </c>
      <c r="R353" s="14" t="str">
        <f t="shared" si="50"/>
        <v>Normal Students</v>
      </c>
      <c r="S353" s="14" t="str">
        <f t="shared" si="51"/>
        <v>Unbalanced Student</v>
      </c>
      <c r="T353" s="14" t="str">
        <f t="shared" si="52"/>
        <v>High</v>
      </c>
      <c r="U353" s="21" t="str">
        <f t="shared" si="53"/>
        <v>B</v>
      </c>
    </row>
    <row r="354" spans="2:21">
      <c r="B354" s="20">
        <v>351</v>
      </c>
      <c r="C354" s="14" t="s">
        <v>40</v>
      </c>
      <c r="D354" s="14" t="s">
        <v>15</v>
      </c>
      <c r="E354" s="14">
        <v>4</v>
      </c>
      <c r="F354" s="14">
        <v>87</v>
      </c>
      <c r="G354" s="14">
        <v>83</v>
      </c>
      <c r="H354" s="14">
        <v>81</v>
      </c>
      <c r="I354" s="14">
        <v>85</v>
      </c>
      <c r="J354" s="14" t="s">
        <v>13</v>
      </c>
      <c r="K354" s="14">
        <v>6</v>
      </c>
      <c r="L354" s="14">
        <v>3</v>
      </c>
      <c r="M354" s="15">
        <f t="shared" si="45"/>
        <v>249</v>
      </c>
      <c r="N354" s="15">
        <f t="shared" si="46"/>
        <v>83</v>
      </c>
      <c r="O354" s="14" t="str">
        <f t="shared" si="47"/>
        <v>Excellent</v>
      </c>
      <c r="P354" s="15">
        <f t="shared" si="48"/>
        <v>20.75</v>
      </c>
      <c r="Q354" s="14" t="str">
        <f t="shared" si="49"/>
        <v>No</v>
      </c>
      <c r="R354" s="14" t="str">
        <f t="shared" si="50"/>
        <v>Normal Students</v>
      </c>
      <c r="S354" s="14" t="str">
        <f t="shared" si="51"/>
        <v>Balanced Student</v>
      </c>
      <c r="T354" s="14" t="str">
        <f t="shared" si="52"/>
        <v>High</v>
      </c>
      <c r="U354" s="21" t="str">
        <f t="shared" si="53"/>
        <v>A</v>
      </c>
    </row>
    <row r="355" spans="2:21">
      <c r="B355" s="20">
        <v>352</v>
      </c>
      <c r="C355" s="14" t="s">
        <v>91</v>
      </c>
      <c r="D355" s="14" t="s">
        <v>15</v>
      </c>
      <c r="E355" s="14">
        <v>2</v>
      </c>
      <c r="F355" s="14">
        <v>68</v>
      </c>
      <c r="G355" s="14">
        <v>60</v>
      </c>
      <c r="H355" s="14">
        <v>58</v>
      </c>
      <c r="I355" s="14">
        <v>64</v>
      </c>
      <c r="J355" s="14" t="s">
        <v>16</v>
      </c>
      <c r="K355" s="14">
        <v>8</v>
      </c>
      <c r="L355" s="14">
        <v>5</v>
      </c>
      <c r="M355" s="15">
        <f t="shared" si="45"/>
        <v>182</v>
      </c>
      <c r="N355" s="15">
        <f t="shared" si="46"/>
        <v>60.666666666666664</v>
      </c>
      <c r="O355" s="14" t="str">
        <f t="shared" si="47"/>
        <v>Good</v>
      </c>
      <c r="P355" s="15">
        <f t="shared" si="48"/>
        <v>30.333333333333332</v>
      </c>
      <c r="Q355" s="14" t="str">
        <f t="shared" si="49"/>
        <v>No</v>
      </c>
      <c r="R355" s="14" t="str">
        <f t="shared" si="50"/>
        <v>Normal Students</v>
      </c>
      <c r="S355" s="14" t="str">
        <f t="shared" si="51"/>
        <v>Unbalanced Student</v>
      </c>
      <c r="T355" s="14" t="str">
        <f t="shared" si="52"/>
        <v>Medium</v>
      </c>
      <c r="U355" s="21" t="str">
        <f t="shared" si="53"/>
        <v>C</v>
      </c>
    </row>
    <row r="356" spans="2:21">
      <c r="B356" s="20">
        <v>353</v>
      </c>
      <c r="C356" s="14" t="s">
        <v>55</v>
      </c>
      <c r="D356" s="14" t="s">
        <v>12</v>
      </c>
      <c r="E356" s="14">
        <v>5</v>
      </c>
      <c r="F356" s="14">
        <v>92</v>
      </c>
      <c r="G356" s="14">
        <v>88</v>
      </c>
      <c r="H356" s="14">
        <v>90</v>
      </c>
      <c r="I356" s="14">
        <v>91</v>
      </c>
      <c r="J356" s="14" t="s">
        <v>13</v>
      </c>
      <c r="K356" s="14">
        <v>6</v>
      </c>
      <c r="L356" s="14">
        <v>2</v>
      </c>
      <c r="M356" s="15">
        <f t="shared" si="45"/>
        <v>269</v>
      </c>
      <c r="N356" s="15">
        <f t="shared" si="46"/>
        <v>89.666666666666671</v>
      </c>
      <c r="O356" s="14" t="str">
        <f t="shared" si="47"/>
        <v>Excellent</v>
      </c>
      <c r="P356" s="15">
        <f t="shared" si="48"/>
        <v>17.933333333333334</v>
      </c>
      <c r="Q356" s="14" t="str">
        <f t="shared" si="49"/>
        <v>No</v>
      </c>
      <c r="R356" s="14" t="str">
        <f t="shared" si="50"/>
        <v>Normal Students</v>
      </c>
      <c r="S356" s="14" t="str">
        <f t="shared" si="51"/>
        <v>Balanced Student</v>
      </c>
      <c r="T356" s="14" t="str">
        <f t="shared" si="52"/>
        <v>High</v>
      </c>
      <c r="U356" s="21" t="str">
        <f t="shared" si="53"/>
        <v>A</v>
      </c>
    </row>
    <row r="357" spans="2:21">
      <c r="B357" s="20">
        <v>354</v>
      </c>
      <c r="C357" s="14" t="s">
        <v>57</v>
      </c>
      <c r="D357" s="14" t="s">
        <v>12</v>
      </c>
      <c r="E357" s="14">
        <v>3</v>
      </c>
      <c r="F357" s="14">
        <v>78</v>
      </c>
      <c r="G357" s="14">
        <v>72</v>
      </c>
      <c r="H357" s="14">
        <v>70</v>
      </c>
      <c r="I357" s="14">
        <v>75</v>
      </c>
      <c r="J357" s="14" t="s">
        <v>13</v>
      </c>
      <c r="K357" s="14">
        <v>7</v>
      </c>
      <c r="L357" s="14">
        <v>4</v>
      </c>
      <c r="M357" s="15">
        <f t="shared" si="45"/>
        <v>217</v>
      </c>
      <c r="N357" s="15">
        <f t="shared" si="46"/>
        <v>72.333333333333329</v>
      </c>
      <c r="O357" s="14" t="str">
        <f t="shared" si="47"/>
        <v>Good</v>
      </c>
      <c r="P357" s="15">
        <f t="shared" si="48"/>
        <v>24.111111111111111</v>
      </c>
      <c r="Q357" s="14" t="str">
        <f t="shared" si="49"/>
        <v>No</v>
      </c>
      <c r="R357" s="14" t="str">
        <f t="shared" si="50"/>
        <v>Normal Students</v>
      </c>
      <c r="S357" s="14" t="str">
        <f t="shared" si="51"/>
        <v>Unbalanced Student</v>
      </c>
      <c r="T357" s="14" t="str">
        <f t="shared" si="52"/>
        <v>Medium</v>
      </c>
      <c r="U357" s="21" t="str">
        <f t="shared" si="53"/>
        <v>B</v>
      </c>
    </row>
    <row r="358" spans="2:21">
      <c r="B358" s="20">
        <v>355</v>
      </c>
      <c r="C358" s="14" t="s">
        <v>60</v>
      </c>
      <c r="D358" s="14" t="s">
        <v>15</v>
      </c>
      <c r="E358" s="14">
        <v>4</v>
      </c>
      <c r="F358" s="14">
        <v>85</v>
      </c>
      <c r="G358" s="14">
        <v>80</v>
      </c>
      <c r="H358" s="14">
        <v>82</v>
      </c>
      <c r="I358" s="14">
        <v>84</v>
      </c>
      <c r="J358" s="14" t="s">
        <v>13</v>
      </c>
      <c r="K358" s="14">
        <v>7</v>
      </c>
      <c r="L358" s="14">
        <v>3</v>
      </c>
      <c r="M358" s="15">
        <f t="shared" si="45"/>
        <v>246</v>
      </c>
      <c r="N358" s="15">
        <f t="shared" si="46"/>
        <v>82</v>
      </c>
      <c r="O358" s="14" t="str">
        <f t="shared" si="47"/>
        <v>Excellent</v>
      </c>
      <c r="P358" s="15">
        <f t="shared" si="48"/>
        <v>20.5</v>
      </c>
      <c r="Q358" s="14" t="str">
        <f t="shared" si="49"/>
        <v>No</v>
      </c>
      <c r="R358" s="14" t="str">
        <f t="shared" si="50"/>
        <v>Normal Students</v>
      </c>
      <c r="S358" s="14" t="str">
        <f t="shared" si="51"/>
        <v>Balanced Student</v>
      </c>
      <c r="T358" s="14" t="str">
        <f t="shared" si="52"/>
        <v>High</v>
      </c>
      <c r="U358" s="21" t="str">
        <f t="shared" si="53"/>
        <v>A</v>
      </c>
    </row>
    <row r="359" spans="2:21">
      <c r="B359" s="20">
        <v>356</v>
      </c>
      <c r="C359" s="14" t="s">
        <v>51</v>
      </c>
      <c r="D359" s="14" t="s">
        <v>12</v>
      </c>
      <c r="E359" s="14">
        <v>6</v>
      </c>
      <c r="F359" s="14">
        <v>94</v>
      </c>
      <c r="G359" s="14">
        <v>91</v>
      </c>
      <c r="H359" s="14">
        <v>90</v>
      </c>
      <c r="I359" s="14">
        <v>92</v>
      </c>
      <c r="J359" s="14" t="s">
        <v>16</v>
      </c>
      <c r="K359" s="14">
        <v>6</v>
      </c>
      <c r="L359" s="14">
        <v>2</v>
      </c>
      <c r="M359" s="15">
        <f t="shared" si="45"/>
        <v>273</v>
      </c>
      <c r="N359" s="15">
        <f t="shared" si="46"/>
        <v>91</v>
      </c>
      <c r="O359" s="14" t="str">
        <f t="shared" si="47"/>
        <v>Excellent</v>
      </c>
      <c r="P359" s="15">
        <f t="shared" si="48"/>
        <v>15.166666666666666</v>
      </c>
      <c r="Q359" s="14" t="str">
        <f t="shared" si="49"/>
        <v>No</v>
      </c>
      <c r="R359" s="14" t="str">
        <f t="shared" si="50"/>
        <v>Normal Students</v>
      </c>
      <c r="S359" s="14" t="str">
        <f t="shared" si="51"/>
        <v>Balanced Student</v>
      </c>
      <c r="T359" s="14" t="str">
        <f t="shared" si="52"/>
        <v>High</v>
      </c>
      <c r="U359" s="21" t="str">
        <f t="shared" si="53"/>
        <v>A</v>
      </c>
    </row>
    <row r="360" spans="2:21">
      <c r="B360" s="20">
        <v>357</v>
      </c>
      <c r="C360" s="14" t="s">
        <v>54</v>
      </c>
      <c r="D360" s="14" t="s">
        <v>15</v>
      </c>
      <c r="E360" s="14">
        <v>3</v>
      </c>
      <c r="F360" s="14">
        <v>79</v>
      </c>
      <c r="G360" s="14">
        <v>74</v>
      </c>
      <c r="H360" s="14">
        <v>72</v>
      </c>
      <c r="I360" s="14">
        <v>76</v>
      </c>
      <c r="J360" s="14" t="s">
        <v>13</v>
      </c>
      <c r="K360" s="14">
        <v>7</v>
      </c>
      <c r="L360" s="14">
        <v>4</v>
      </c>
      <c r="M360" s="15">
        <f t="shared" si="45"/>
        <v>222</v>
      </c>
      <c r="N360" s="15">
        <f t="shared" si="46"/>
        <v>74</v>
      </c>
      <c r="O360" s="14" t="str">
        <f t="shared" si="47"/>
        <v>Good</v>
      </c>
      <c r="P360" s="15">
        <f t="shared" si="48"/>
        <v>24.666666666666668</v>
      </c>
      <c r="Q360" s="14" t="str">
        <f t="shared" si="49"/>
        <v>No</v>
      </c>
      <c r="R360" s="14" t="str">
        <f t="shared" si="50"/>
        <v>Normal Students</v>
      </c>
      <c r="S360" s="14" t="str">
        <f t="shared" si="51"/>
        <v>Unbalanced Student</v>
      </c>
      <c r="T360" s="14" t="str">
        <f t="shared" si="52"/>
        <v>Medium</v>
      </c>
      <c r="U360" s="21" t="str">
        <f t="shared" si="53"/>
        <v>B</v>
      </c>
    </row>
    <row r="361" spans="2:21">
      <c r="B361" s="20">
        <v>358</v>
      </c>
      <c r="C361" s="14" t="s">
        <v>19</v>
      </c>
      <c r="D361" s="14" t="s">
        <v>12</v>
      </c>
      <c r="E361" s="14">
        <v>2</v>
      </c>
      <c r="F361" s="14">
        <v>70</v>
      </c>
      <c r="G361" s="14">
        <v>62</v>
      </c>
      <c r="H361" s="14">
        <v>60</v>
      </c>
      <c r="I361" s="14">
        <v>66</v>
      </c>
      <c r="J361" s="14" t="s">
        <v>16</v>
      </c>
      <c r="K361" s="14">
        <v>8</v>
      </c>
      <c r="L361" s="14">
        <v>5</v>
      </c>
      <c r="M361" s="15">
        <f t="shared" si="45"/>
        <v>188</v>
      </c>
      <c r="N361" s="15">
        <f t="shared" si="46"/>
        <v>62.666666666666664</v>
      </c>
      <c r="O361" s="14" t="str">
        <f t="shared" si="47"/>
        <v>Good</v>
      </c>
      <c r="P361" s="15">
        <f t="shared" si="48"/>
        <v>31.333333333333332</v>
      </c>
      <c r="Q361" s="14" t="str">
        <f t="shared" si="49"/>
        <v>No</v>
      </c>
      <c r="R361" s="14" t="str">
        <f t="shared" si="50"/>
        <v>Normal Students</v>
      </c>
      <c r="S361" s="14" t="str">
        <f t="shared" si="51"/>
        <v>Unbalanced Student</v>
      </c>
      <c r="T361" s="14" t="str">
        <f t="shared" si="52"/>
        <v>Medium</v>
      </c>
      <c r="U361" s="21" t="str">
        <f t="shared" si="53"/>
        <v>C</v>
      </c>
    </row>
    <row r="362" spans="2:21">
      <c r="B362" s="20">
        <v>359</v>
      </c>
      <c r="C362" s="14" t="s">
        <v>14</v>
      </c>
      <c r="D362" s="14" t="s">
        <v>15</v>
      </c>
      <c r="E362" s="14">
        <v>5</v>
      </c>
      <c r="F362" s="14">
        <v>90</v>
      </c>
      <c r="G362" s="14">
        <v>86</v>
      </c>
      <c r="H362" s="14">
        <v>88</v>
      </c>
      <c r="I362" s="14">
        <v>89</v>
      </c>
      <c r="J362" s="14" t="s">
        <v>13</v>
      </c>
      <c r="K362" s="14">
        <v>6</v>
      </c>
      <c r="L362" s="14">
        <v>2</v>
      </c>
      <c r="M362" s="15">
        <f t="shared" si="45"/>
        <v>263</v>
      </c>
      <c r="N362" s="15">
        <f t="shared" si="46"/>
        <v>87.666666666666671</v>
      </c>
      <c r="O362" s="14" t="str">
        <f t="shared" si="47"/>
        <v>Excellent</v>
      </c>
      <c r="P362" s="15">
        <f t="shared" si="48"/>
        <v>17.533333333333335</v>
      </c>
      <c r="Q362" s="14" t="str">
        <f t="shared" si="49"/>
        <v>No</v>
      </c>
      <c r="R362" s="14" t="str">
        <f t="shared" si="50"/>
        <v>Normal Students</v>
      </c>
      <c r="S362" s="14" t="str">
        <f t="shared" si="51"/>
        <v>Balanced Student</v>
      </c>
      <c r="T362" s="14" t="str">
        <f t="shared" si="52"/>
        <v>High</v>
      </c>
      <c r="U362" s="21" t="str">
        <f t="shared" si="53"/>
        <v>A</v>
      </c>
    </row>
    <row r="363" spans="2:21">
      <c r="B363" s="20">
        <v>360</v>
      </c>
      <c r="C363" s="14" t="s">
        <v>11</v>
      </c>
      <c r="D363" s="14" t="s">
        <v>12</v>
      </c>
      <c r="E363" s="14">
        <v>3</v>
      </c>
      <c r="F363" s="14">
        <v>82</v>
      </c>
      <c r="G363" s="14">
        <v>76</v>
      </c>
      <c r="H363" s="14">
        <v>75</v>
      </c>
      <c r="I363" s="14">
        <v>80</v>
      </c>
      <c r="J363" s="14" t="s">
        <v>16</v>
      </c>
      <c r="K363" s="14">
        <v>7</v>
      </c>
      <c r="L363" s="14">
        <v>4</v>
      </c>
      <c r="M363" s="15">
        <f t="shared" si="45"/>
        <v>231</v>
      </c>
      <c r="N363" s="15">
        <f t="shared" si="46"/>
        <v>77</v>
      </c>
      <c r="O363" s="14" t="str">
        <f t="shared" si="47"/>
        <v>Good</v>
      </c>
      <c r="P363" s="15">
        <f t="shared" si="48"/>
        <v>25.666666666666668</v>
      </c>
      <c r="Q363" s="14" t="str">
        <f t="shared" si="49"/>
        <v>No</v>
      </c>
      <c r="R363" s="14" t="str">
        <f t="shared" si="50"/>
        <v>Normal Students</v>
      </c>
      <c r="S363" s="14" t="str">
        <f t="shared" si="51"/>
        <v>Unbalanced Student</v>
      </c>
      <c r="T363" s="14" t="str">
        <f t="shared" si="52"/>
        <v>High</v>
      </c>
      <c r="U363" s="21" t="str">
        <f t="shared" si="53"/>
        <v>B</v>
      </c>
    </row>
    <row r="364" spans="2:21">
      <c r="B364" s="20">
        <v>361</v>
      </c>
      <c r="C364" s="14" t="s">
        <v>71</v>
      </c>
      <c r="D364" s="14" t="s">
        <v>12</v>
      </c>
      <c r="E364" s="14">
        <v>3</v>
      </c>
      <c r="F364" s="14">
        <v>78</v>
      </c>
      <c r="G364" s="14">
        <v>72</v>
      </c>
      <c r="H364" s="14">
        <v>70</v>
      </c>
      <c r="I364" s="14">
        <v>75</v>
      </c>
      <c r="J364" s="14" t="s">
        <v>13</v>
      </c>
      <c r="K364" s="14">
        <v>7</v>
      </c>
      <c r="L364" s="14">
        <v>4</v>
      </c>
      <c r="M364" s="15">
        <f t="shared" si="45"/>
        <v>217</v>
      </c>
      <c r="N364" s="15">
        <f t="shared" si="46"/>
        <v>72.333333333333329</v>
      </c>
      <c r="O364" s="14" t="str">
        <f t="shared" si="47"/>
        <v>Good</v>
      </c>
      <c r="P364" s="15">
        <f t="shared" si="48"/>
        <v>24.111111111111111</v>
      </c>
      <c r="Q364" s="14" t="str">
        <f t="shared" si="49"/>
        <v>No</v>
      </c>
      <c r="R364" s="14" t="str">
        <f t="shared" si="50"/>
        <v>Normal Students</v>
      </c>
      <c r="S364" s="14" t="str">
        <f t="shared" si="51"/>
        <v>Unbalanced Student</v>
      </c>
      <c r="T364" s="14" t="str">
        <f t="shared" si="52"/>
        <v>Medium</v>
      </c>
      <c r="U364" s="21" t="str">
        <f t="shared" si="53"/>
        <v>B</v>
      </c>
    </row>
    <row r="365" spans="2:21">
      <c r="B365" s="20">
        <v>362</v>
      </c>
      <c r="C365" s="14" t="s">
        <v>52</v>
      </c>
      <c r="D365" s="14" t="s">
        <v>15</v>
      </c>
      <c r="E365" s="14">
        <v>4</v>
      </c>
      <c r="F365" s="14">
        <v>85</v>
      </c>
      <c r="G365" s="14">
        <v>80</v>
      </c>
      <c r="H365" s="14">
        <v>82</v>
      </c>
      <c r="I365" s="14">
        <v>84</v>
      </c>
      <c r="J365" s="14" t="s">
        <v>13</v>
      </c>
      <c r="K365" s="14">
        <v>7</v>
      </c>
      <c r="L365" s="14">
        <v>3</v>
      </c>
      <c r="M365" s="15">
        <f t="shared" si="45"/>
        <v>246</v>
      </c>
      <c r="N365" s="15">
        <f t="shared" si="46"/>
        <v>82</v>
      </c>
      <c r="O365" s="14" t="str">
        <f t="shared" si="47"/>
        <v>Excellent</v>
      </c>
      <c r="P365" s="15">
        <f t="shared" si="48"/>
        <v>20.5</v>
      </c>
      <c r="Q365" s="14" t="str">
        <f t="shared" si="49"/>
        <v>No</v>
      </c>
      <c r="R365" s="14" t="str">
        <f t="shared" si="50"/>
        <v>Normal Students</v>
      </c>
      <c r="S365" s="14" t="str">
        <f t="shared" si="51"/>
        <v>Balanced Student</v>
      </c>
      <c r="T365" s="14" t="str">
        <f t="shared" si="52"/>
        <v>High</v>
      </c>
      <c r="U365" s="21" t="str">
        <f t="shared" si="53"/>
        <v>A</v>
      </c>
    </row>
    <row r="366" spans="2:21">
      <c r="B366" s="20">
        <v>363</v>
      </c>
      <c r="C366" s="14" t="s">
        <v>68</v>
      </c>
      <c r="D366" s="14" t="s">
        <v>69</v>
      </c>
      <c r="E366" s="14">
        <v>4</v>
      </c>
      <c r="F366" s="14">
        <v>88</v>
      </c>
      <c r="G366" s="14">
        <v>82</v>
      </c>
      <c r="H366" s="14">
        <v>79</v>
      </c>
      <c r="I366" s="14">
        <v>85</v>
      </c>
      <c r="J366" s="14" t="s">
        <v>70</v>
      </c>
      <c r="K366" s="14">
        <v>7</v>
      </c>
      <c r="L366" s="14">
        <v>3</v>
      </c>
      <c r="M366" s="15">
        <f t="shared" si="45"/>
        <v>246</v>
      </c>
      <c r="N366" s="15">
        <f t="shared" si="46"/>
        <v>82</v>
      </c>
      <c r="O366" s="14" t="str">
        <f t="shared" si="47"/>
        <v>Excellent</v>
      </c>
      <c r="P366" s="15">
        <f t="shared" si="48"/>
        <v>20.5</v>
      </c>
      <c r="Q366" s="14" t="str">
        <f t="shared" si="49"/>
        <v>No</v>
      </c>
      <c r="R366" s="14" t="str">
        <f t="shared" si="50"/>
        <v>Normal Students</v>
      </c>
      <c r="S366" s="14" t="str">
        <f t="shared" si="51"/>
        <v>Balanced Student</v>
      </c>
      <c r="T366" s="14" t="str">
        <f t="shared" si="52"/>
        <v>High</v>
      </c>
      <c r="U366" s="21" t="str">
        <f t="shared" si="53"/>
        <v>A</v>
      </c>
    </row>
    <row r="367" spans="2:21">
      <c r="B367" s="20">
        <v>364</v>
      </c>
      <c r="C367" s="14" t="s">
        <v>65</v>
      </c>
      <c r="D367" s="14" t="s">
        <v>66</v>
      </c>
      <c r="E367" s="14">
        <v>3</v>
      </c>
      <c r="F367" s="14">
        <v>85</v>
      </c>
      <c r="G367" s="14">
        <v>78</v>
      </c>
      <c r="H367" s="14">
        <v>72</v>
      </c>
      <c r="I367" s="14">
        <v>80</v>
      </c>
      <c r="J367" s="14" t="s">
        <v>67</v>
      </c>
      <c r="K367" s="14">
        <v>7</v>
      </c>
      <c r="L367" s="14">
        <v>3</v>
      </c>
      <c r="M367" s="15">
        <f t="shared" si="45"/>
        <v>230</v>
      </c>
      <c r="N367" s="15">
        <f t="shared" si="46"/>
        <v>76.666666666666671</v>
      </c>
      <c r="O367" s="14" t="str">
        <f t="shared" si="47"/>
        <v>Good</v>
      </c>
      <c r="P367" s="15">
        <f t="shared" si="48"/>
        <v>25.555555555555557</v>
      </c>
      <c r="Q367" s="14" t="str">
        <f t="shared" si="49"/>
        <v>No</v>
      </c>
      <c r="R367" s="14" t="str">
        <f t="shared" si="50"/>
        <v>Normal Students</v>
      </c>
      <c r="S367" s="14" t="str">
        <f t="shared" si="51"/>
        <v>Unbalanced Student</v>
      </c>
      <c r="T367" s="14" t="str">
        <f t="shared" si="52"/>
        <v>High</v>
      </c>
      <c r="U367" s="21" t="str">
        <f t="shared" si="53"/>
        <v>B</v>
      </c>
    </row>
    <row r="368" spans="2:21">
      <c r="B368" s="20">
        <v>365</v>
      </c>
      <c r="C368" s="14" t="s">
        <v>154</v>
      </c>
      <c r="D368" s="14" t="s">
        <v>15</v>
      </c>
      <c r="E368" s="14">
        <v>0</v>
      </c>
      <c r="F368" s="14">
        <v>85</v>
      </c>
      <c r="G368" s="14">
        <v>80</v>
      </c>
      <c r="H368" s="14">
        <v>82</v>
      </c>
      <c r="I368" s="14">
        <v>84</v>
      </c>
      <c r="J368" s="14" t="s">
        <v>13</v>
      </c>
      <c r="K368" s="14">
        <v>7</v>
      </c>
      <c r="L368" s="14">
        <v>3</v>
      </c>
      <c r="M368" s="15">
        <f t="shared" si="45"/>
        <v>246</v>
      </c>
      <c r="N368" s="15">
        <f t="shared" si="46"/>
        <v>82</v>
      </c>
      <c r="O368" s="14" t="str">
        <f t="shared" si="47"/>
        <v>Excellent</v>
      </c>
      <c r="P368" s="15">
        <f t="shared" si="48"/>
        <v>0</v>
      </c>
      <c r="Q368" s="14" t="str">
        <f t="shared" si="49"/>
        <v>No</v>
      </c>
      <c r="R368" s="14" t="str">
        <f t="shared" si="50"/>
        <v>Smart Students</v>
      </c>
      <c r="S368" s="14" t="str">
        <f t="shared" si="51"/>
        <v>Balanced Student</v>
      </c>
      <c r="T368" s="14" t="str">
        <f t="shared" si="52"/>
        <v>High</v>
      </c>
      <c r="U368" s="21" t="str">
        <f t="shared" si="53"/>
        <v>A</v>
      </c>
    </row>
    <row r="369" spans="2:21">
      <c r="B369" s="20">
        <v>366</v>
      </c>
      <c r="C369" s="14" t="s">
        <v>39</v>
      </c>
      <c r="D369" s="14" t="s">
        <v>12</v>
      </c>
      <c r="E369" s="14">
        <v>2</v>
      </c>
      <c r="F369" s="14">
        <v>70</v>
      </c>
      <c r="G369" s="14">
        <v>62</v>
      </c>
      <c r="H369" s="14">
        <v>60</v>
      </c>
      <c r="I369" s="14">
        <v>66</v>
      </c>
      <c r="J369" s="14" t="s">
        <v>16</v>
      </c>
      <c r="K369" s="14">
        <v>8</v>
      </c>
      <c r="L369" s="14">
        <v>5</v>
      </c>
      <c r="M369" s="15">
        <f t="shared" si="45"/>
        <v>188</v>
      </c>
      <c r="N369" s="15">
        <f t="shared" si="46"/>
        <v>62.666666666666664</v>
      </c>
      <c r="O369" s="14" t="str">
        <f t="shared" si="47"/>
        <v>Good</v>
      </c>
      <c r="P369" s="15">
        <f t="shared" si="48"/>
        <v>31.333333333333332</v>
      </c>
      <c r="Q369" s="14" t="str">
        <f t="shared" si="49"/>
        <v>No</v>
      </c>
      <c r="R369" s="14" t="str">
        <f t="shared" si="50"/>
        <v>Normal Students</v>
      </c>
      <c r="S369" s="14" t="str">
        <f t="shared" si="51"/>
        <v>Unbalanced Student</v>
      </c>
      <c r="T369" s="14" t="str">
        <f t="shared" si="52"/>
        <v>Medium</v>
      </c>
      <c r="U369" s="21" t="str">
        <f t="shared" si="53"/>
        <v>C</v>
      </c>
    </row>
    <row r="370" spans="2:21">
      <c r="B370" s="20">
        <v>367</v>
      </c>
      <c r="C370" s="14" t="s">
        <v>28</v>
      </c>
      <c r="D370" s="14" t="s">
        <v>15</v>
      </c>
      <c r="E370" s="14">
        <v>5</v>
      </c>
      <c r="F370" s="14">
        <v>92</v>
      </c>
      <c r="G370" s="14">
        <v>88</v>
      </c>
      <c r="H370" s="14">
        <v>90</v>
      </c>
      <c r="I370" s="14">
        <v>91</v>
      </c>
      <c r="J370" s="14" t="s">
        <v>13</v>
      </c>
      <c r="K370" s="14">
        <v>6</v>
      </c>
      <c r="L370" s="14">
        <v>2</v>
      </c>
      <c r="M370" s="15">
        <f t="shared" si="45"/>
        <v>269</v>
      </c>
      <c r="N370" s="15">
        <f t="shared" si="46"/>
        <v>89.666666666666671</v>
      </c>
      <c r="O370" s="14" t="str">
        <f t="shared" si="47"/>
        <v>Excellent</v>
      </c>
      <c r="P370" s="15">
        <f t="shared" si="48"/>
        <v>17.933333333333334</v>
      </c>
      <c r="Q370" s="14" t="str">
        <f t="shared" si="49"/>
        <v>No</v>
      </c>
      <c r="R370" s="14" t="str">
        <f t="shared" si="50"/>
        <v>Normal Students</v>
      </c>
      <c r="S370" s="14" t="str">
        <f t="shared" si="51"/>
        <v>Balanced Student</v>
      </c>
      <c r="T370" s="14" t="str">
        <f t="shared" si="52"/>
        <v>High</v>
      </c>
      <c r="U370" s="21" t="str">
        <f t="shared" si="53"/>
        <v>A</v>
      </c>
    </row>
    <row r="371" spans="2:21">
      <c r="B371" s="20">
        <v>368</v>
      </c>
      <c r="C371" s="14" t="s">
        <v>53</v>
      </c>
      <c r="D371" s="14" t="s">
        <v>12</v>
      </c>
      <c r="E371" s="14">
        <v>1</v>
      </c>
      <c r="F371" s="14">
        <v>62</v>
      </c>
      <c r="G371" s="14">
        <v>52</v>
      </c>
      <c r="H371" s="14">
        <v>50</v>
      </c>
      <c r="I371" s="14">
        <v>57</v>
      </c>
      <c r="J371" s="14" t="s">
        <v>16</v>
      </c>
      <c r="K371" s="14">
        <v>8</v>
      </c>
      <c r="L371" s="14">
        <v>6</v>
      </c>
      <c r="M371" s="15">
        <f t="shared" si="45"/>
        <v>159</v>
      </c>
      <c r="N371" s="15">
        <f t="shared" si="46"/>
        <v>53</v>
      </c>
      <c r="O371" s="14" t="str">
        <f t="shared" si="47"/>
        <v>Needs Improvement</v>
      </c>
      <c r="P371" s="15">
        <f t="shared" si="48"/>
        <v>53</v>
      </c>
      <c r="Q371" s="14" t="str">
        <f t="shared" si="49"/>
        <v>Yes</v>
      </c>
      <c r="R371" s="14" t="str">
        <f t="shared" si="50"/>
        <v>Normal Students</v>
      </c>
      <c r="S371" s="14" t="str">
        <f t="shared" si="51"/>
        <v>Unbalanced Student</v>
      </c>
      <c r="T371" s="14" t="str">
        <f t="shared" si="52"/>
        <v>Medium</v>
      </c>
      <c r="U371" s="21" t="str">
        <f t="shared" si="53"/>
        <v>D</v>
      </c>
    </row>
    <row r="372" spans="2:21">
      <c r="B372" s="20">
        <v>369</v>
      </c>
      <c r="C372" s="14" t="s">
        <v>22</v>
      </c>
      <c r="D372" s="14" t="s">
        <v>15</v>
      </c>
      <c r="E372" s="14">
        <v>4</v>
      </c>
      <c r="F372" s="14">
        <v>87</v>
      </c>
      <c r="G372" s="14">
        <v>83</v>
      </c>
      <c r="H372" s="14">
        <v>81</v>
      </c>
      <c r="I372" s="14">
        <v>85</v>
      </c>
      <c r="J372" s="14" t="s">
        <v>13</v>
      </c>
      <c r="K372" s="14">
        <v>6</v>
      </c>
      <c r="L372" s="14">
        <v>3</v>
      </c>
      <c r="M372" s="15">
        <f t="shared" si="45"/>
        <v>249</v>
      </c>
      <c r="N372" s="15">
        <f t="shared" si="46"/>
        <v>83</v>
      </c>
      <c r="O372" s="14" t="str">
        <f t="shared" si="47"/>
        <v>Excellent</v>
      </c>
      <c r="P372" s="15">
        <f t="shared" si="48"/>
        <v>20.75</v>
      </c>
      <c r="Q372" s="14" t="str">
        <f t="shared" si="49"/>
        <v>No</v>
      </c>
      <c r="R372" s="14" t="str">
        <f t="shared" si="50"/>
        <v>Normal Students</v>
      </c>
      <c r="S372" s="14" t="str">
        <f t="shared" si="51"/>
        <v>Balanced Student</v>
      </c>
      <c r="T372" s="14" t="str">
        <f t="shared" si="52"/>
        <v>High</v>
      </c>
      <c r="U372" s="21" t="str">
        <f t="shared" si="53"/>
        <v>A</v>
      </c>
    </row>
    <row r="373" spans="2:21">
      <c r="B373" s="20">
        <v>370</v>
      </c>
      <c r="C373" s="14" t="s">
        <v>157</v>
      </c>
      <c r="D373" s="14" t="s">
        <v>12</v>
      </c>
      <c r="E373" s="14">
        <v>2</v>
      </c>
      <c r="F373" s="14">
        <v>68</v>
      </c>
      <c r="G373" s="14">
        <v>60</v>
      </c>
      <c r="H373" s="14">
        <v>58</v>
      </c>
      <c r="I373" s="14">
        <v>64</v>
      </c>
      <c r="J373" s="14" t="s">
        <v>16</v>
      </c>
      <c r="K373" s="14">
        <v>8</v>
      </c>
      <c r="L373" s="14">
        <v>5</v>
      </c>
      <c r="M373" s="15">
        <f t="shared" si="45"/>
        <v>182</v>
      </c>
      <c r="N373" s="15">
        <f t="shared" si="46"/>
        <v>60.666666666666664</v>
      </c>
      <c r="O373" s="14" t="str">
        <f t="shared" si="47"/>
        <v>Good</v>
      </c>
      <c r="P373" s="15">
        <f t="shared" si="48"/>
        <v>30.333333333333332</v>
      </c>
      <c r="Q373" s="14" t="str">
        <f t="shared" si="49"/>
        <v>No</v>
      </c>
      <c r="R373" s="14" t="str">
        <f t="shared" si="50"/>
        <v>Normal Students</v>
      </c>
      <c r="S373" s="14" t="str">
        <f t="shared" si="51"/>
        <v>Unbalanced Student</v>
      </c>
      <c r="T373" s="14" t="str">
        <f t="shared" si="52"/>
        <v>Medium</v>
      </c>
      <c r="U373" s="21" t="str">
        <f t="shared" si="53"/>
        <v>C</v>
      </c>
    </row>
    <row r="374" spans="2:21">
      <c r="B374" s="20">
        <v>371</v>
      </c>
      <c r="C374" s="14" t="s">
        <v>34</v>
      </c>
      <c r="D374" s="14" t="s">
        <v>15</v>
      </c>
      <c r="E374" s="14">
        <v>5</v>
      </c>
      <c r="F374" s="14">
        <v>92</v>
      </c>
      <c r="G374" s="14">
        <v>88</v>
      </c>
      <c r="H374" s="14">
        <v>90</v>
      </c>
      <c r="I374" s="14">
        <v>91</v>
      </c>
      <c r="J374" s="14" t="s">
        <v>13</v>
      </c>
      <c r="K374" s="14">
        <v>6</v>
      </c>
      <c r="L374" s="14">
        <v>2</v>
      </c>
      <c r="M374" s="15">
        <f t="shared" si="45"/>
        <v>269</v>
      </c>
      <c r="N374" s="15">
        <f t="shared" si="46"/>
        <v>89.666666666666671</v>
      </c>
      <c r="O374" s="14" t="str">
        <f t="shared" si="47"/>
        <v>Excellent</v>
      </c>
      <c r="P374" s="15">
        <f t="shared" si="48"/>
        <v>17.933333333333334</v>
      </c>
      <c r="Q374" s="14" t="str">
        <f t="shared" si="49"/>
        <v>No</v>
      </c>
      <c r="R374" s="14" t="str">
        <f t="shared" si="50"/>
        <v>Normal Students</v>
      </c>
      <c r="S374" s="14" t="str">
        <f t="shared" si="51"/>
        <v>Balanced Student</v>
      </c>
      <c r="T374" s="14" t="str">
        <f t="shared" si="52"/>
        <v>High</v>
      </c>
      <c r="U374" s="21" t="str">
        <f t="shared" si="53"/>
        <v>A</v>
      </c>
    </row>
    <row r="375" spans="2:21">
      <c r="B375" s="20">
        <v>372</v>
      </c>
      <c r="C375" s="14" t="s">
        <v>82</v>
      </c>
      <c r="D375" s="14" t="s">
        <v>12</v>
      </c>
      <c r="E375" s="14">
        <v>3</v>
      </c>
      <c r="F375" s="14">
        <v>78</v>
      </c>
      <c r="G375" s="14">
        <v>72</v>
      </c>
      <c r="H375" s="14">
        <v>70</v>
      </c>
      <c r="I375" s="14">
        <v>75</v>
      </c>
      <c r="J375" s="14" t="s">
        <v>13</v>
      </c>
      <c r="K375" s="14">
        <v>7</v>
      </c>
      <c r="L375" s="14">
        <v>4</v>
      </c>
      <c r="M375" s="15">
        <f t="shared" si="45"/>
        <v>217</v>
      </c>
      <c r="N375" s="15">
        <f t="shared" si="46"/>
        <v>72.333333333333329</v>
      </c>
      <c r="O375" s="14" t="str">
        <f t="shared" si="47"/>
        <v>Good</v>
      </c>
      <c r="P375" s="15">
        <f t="shared" si="48"/>
        <v>24.111111111111111</v>
      </c>
      <c r="Q375" s="14" t="str">
        <f t="shared" si="49"/>
        <v>No</v>
      </c>
      <c r="R375" s="14" t="str">
        <f t="shared" si="50"/>
        <v>Normal Students</v>
      </c>
      <c r="S375" s="14" t="str">
        <f t="shared" si="51"/>
        <v>Unbalanced Student</v>
      </c>
      <c r="T375" s="14" t="str">
        <f t="shared" si="52"/>
        <v>Medium</v>
      </c>
      <c r="U375" s="21" t="str">
        <f t="shared" si="53"/>
        <v>B</v>
      </c>
    </row>
    <row r="376" spans="2:21">
      <c r="B376" s="20">
        <v>373</v>
      </c>
      <c r="C376" s="14" t="s">
        <v>50</v>
      </c>
      <c r="D376" s="14" t="s">
        <v>15</v>
      </c>
      <c r="E376" s="14">
        <v>4</v>
      </c>
      <c r="F376" s="14">
        <v>85</v>
      </c>
      <c r="G376" s="14">
        <v>80</v>
      </c>
      <c r="H376" s="14">
        <v>82</v>
      </c>
      <c r="I376" s="14">
        <v>84</v>
      </c>
      <c r="J376" s="14" t="s">
        <v>13</v>
      </c>
      <c r="K376" s="14">
        <v>7</v>
      </c>
      <c r="L376" s="14">
        <v>3</v>
      </c>
      <c r="M376" s="15">
        <f t="shared" si="45"/>
        <v>246</v>
      </c>
      <c r="N376" s="15">
        <f t="shared" si="46"/>
        <v>82</v>
      </c>
      <c r="O376" s="14" t="str">
        <f t="shared" si="47"/>
        <v>Excellent</v>
      </c>
      <c r="P376" s="15">
        <f t="shared" si="48"/>
        <v>20.5</v>
      </c>
      <c r="Q376" s="14" t="str">
        <f t="shared" si="49"/>
        <v>No</v>
      </c>
      <c r="R376" s="14" t="str">
        <f t="shared" si="50"/>
        <v>Normal Students</v>
      </c>
      <c r="S376" s="14" t="str">
        <f t="shared" si="51"/>
        <v>Balanced Student</v>
      </c>
      <c r="T376" s="14" t="str">
        <f t="shared" si="52"/>
        <v>High</v>
      </c>
      <c r="U376" s="21" t="str">
        <f t="shared" si="53"/>
        <v>A</v>
      </c>
    </row>
    <row r="377" spans="2:21">
      <c r="B377" s="20">
        <v>374</v>
      </c>
      <c r="C377" s="14" t="s">
        <v>111</v>
      </c>
      <c r="D377" s="14" t="s">
        <v>12</v>
      </c>
      <c r="E377" s="14">
        <v>6</v>
      </c>
      <c r="F377" s="14">
        <v>94</v>
      </c>
      <c r="G377" s="14">
        <v>91</v>
      </c>
      <c r="H377" s="14">
        <v>90</v>
      </c>
      <c r="I377" s="14">
        <v>92</v>
      </c>
      <c r="J377" s="14" t="s">
        <v>16</v>
      </c>
      <c r="K377" s="14">
        <v>6</v>
      </c>
      <c r="L377" s="14">
        <v>2</v>
      </c>
      <c r="M377" s="15">
        <f t="shared" si="45"/>
        <v>273</v>
      </c>
      <c r="N377" s="15">
        <f t="shared" si="46"/>
        <v>91</v>
      </c>
      <c r="O377" s="14" t="str">
        <f t="shared" si="47"/>
        <v>Excellent</v>
      </c>
      <c r="P377" s="15">
        <f t="shared" si="48"/>
        <v>15.166666666666666</v>
      </c>
      <c r="Q377" s="14" t="str">
        <f t="shared" si="49"/>
        <v>No</v>
      </c>
      <c r="R377" s="14" t="str">
        <f t="shared" si="50"/>
        <v>Normal Students</v>
      </c>
      <c r="S377" s="14" t="str">
        <f t="shared" si="51"/>
        <v>Balanced Student</v>
      </c>
      <c r="T377" s="14" t="str">
        <f t="shared" si="52"/>
        <v>High</v>
      </c>
      <c r="U377" s="21" t="str">
        <f t="shared" si="53"/>
        <v>A</v>
      </c>
    </row>
    <row r="378" spans="2:21">
      <c r="B378" s="20">
        <v>375</v>
      </c>
      <c r="C378" s="14" t="s">
        <v>165</v>
      </c>
      <c r="D378" s="14" t="s">
        <v>15</v>
      </c>
      <c r="E378" s="14">
        <v>3</v>
      </c>
      <c r="F378" s="14">
        <v>79</v>
      </c>
      <c r="G378" s="14">
        <v>74</v>
      </c>
      <c r="H378" s="14">
        <v>72</v>
      </c>
      <c r="I378" s="14">
        <v>76</v>
      </c>
      <c r="J378" s="14" t="s">
        <v>13</v>
      </c>
      <c r="K378" s="14">
        <v>7</v>
      </c>
      <c r="L378" s="14">
        <v>4</v>
      </c>
      <c r="M378" s="15">
        <f t="shared" si="45"/>
        <v>222</v>
      </c>
      <c r="N378" s="15">
        <f t="shared" si="46"/>
        <v>74</v>
      </c>
      <c r="O378" s="14" t="str">
        <f t="shared" si="47"/>
        <v>Good</v>
      </c>
      <c r="P378" s="15">
        <f t="shared" si="48"/>
        <v>24.666666666666668</v>
      </c>
      <c r="Q378" s="14" t="str">
        <f t="shared" si="49"/>
        <v>No</v>
      </c>
      <c r="R378" s="14" t="str">
        <f t="shared" si="50"/>
        <v>Normal Students</v>
      </c>
      <c r="S378" s="14" t="str">
        <f t="shared" si="51"/>
        <v>Unbalanced Student</v>
      </c>
      <c r="T378" s="14" t="str">
        <f t="shared" si="52"/>
        <v>Medium</v>
      </c>
      <c r="U378" s="21" t="str">
        <f t="shared" si="53"/>
        <v>B</v>
      </c>
    </row>
    <row r="379" spans="2:21">
      <c r="B379" s="20">
        <v>376</v>
      </c>
      <c r="C379" s="14" t="s">
        <v>33</v>
      </c>
      <c r="D379" s="14" t="s">
        <v>12</v>
      </c>
      <c r="E379" s="14">
        <v>2</v>
      </c>
      <c r="F379" s="14">
        <v>70</v>
      </c>
      <c r="G379" s="14">
        <v>62</v>
      </c>
      <c r="H379" s="14">
        <v>60</v>
      </c>
      <c r="I379" s="14">
        <v>66</v>
      </c>
      <c r="J379" s="14" t="s">
        <v>16</v>
      </c>
      <c r="K379" s="14">
        <v>8</v>
      </c>
      <c r="L379" s="14">
        <v>5</v>
      </c>
      <c r="M379" s="15">
        <f t="shared" si="45"/>
        <v>188</v>
      </c>
      <c r="N379" s="15">
        <f t="shared" si="46"/>
        <v>62.666666666666664</v>
      </c>
      <c r="O379" s="14" t="str">
        <f t="shared" si="47"/>
        <v>Good</v>
      </c>
      <c r="P379" s="15">
        <f t="shared" si="48"/>
        <v>31.333333333333332</v>
      </c>
      <c r="Q379" s="14" t="str">
        <f t="shared" si="49"/>
        <v>No</v>
      </c>
      <c r="R379" s="14" t="str">
        <f t="shared" si="50"/>
        <v>Normal Students</v>
      </c>
      <c r="S379" s="14" t="str">
        <f t="shared" si="51"/>
        <v>Unbalanced Student</v>
      </c>
      <c r="T379" s="14" t="str">
        <f t="shared" si="52"/>
        <v>Medium</v>
      </c>
      <c r="U379" s="21" t="str">
        <f t="shared" si="53"/>
        <v>C</v>
      </c>
    </row>
    <row r="380" spans="2:21">
      <c r="B380" s="20">
        <v>377</v>
      </c>
      <c r="C380" s="14" t="s">
        <v>56</v>
      </c>
      <c r="D380" s="14" t="s">
        <v>15</v>
      </c>
      <c r="E380" s="14">
        <v>5</v>
      </c>
      <c r="F380" s="14">
        <v>90</v>
      </c>
      <c r="G380" s="14">
        <v>86</v>
      </c>
      <c r="H380" s="14">
        <v>88</v>
      </c>
      <c r="I380" s="14">
        <v>89</v>
      </c>
      <c r="J380" s="14" t="s">
        <v>13</v>
      </c>
      <c r="K380" s="14">
        <v>6</v>
      </c>
      <c r="L380" s="14">
        <v>2</v>
      </c>
      <c r="M380" s="15">
        <f t="shared" si="45"/>
        <v>263</v>
      </c>
      <c r="N380" s="15">
        <f t="shared" si="46"/>
        <v>87.666666666666671</v>
      </c>
      <c r="O380" s="14" t="str">
        <f t="shared" si="47"/>
        <v>Excellent</v>
      </c>
      <c r="P380" s="15">
        <f t="shared" si="48"/>
        <v>17.533333333333335</v>
      </c>
      <c r="Q380" s="14" t="str">
        <f t="shared" si="49"/>
        <v>No</v>
      </c>
      <c r="R380" s="14" t="str">
        <f t="shared" si="50"/>
        <v>Normal Students</v>
      </c>
      <c r="S380" s="14" t="str">
        <f t="shared" si="51"/>
        <v>Balanced Student</v>
      </c>
      <c r="T380" s="14" t="str">
        <f t="shared" si="52"/>
        <v>High</v>
      </c>
      <c r="U380" s="21" t="str">
        <f t="shared" si="53"/>
        <v>A</v>
      </c>
    </row>
    <row r="381" spans="2:21">
      <c r="B381" s="20">
        <v>378</v>
      </c>
      <c r="C381" s="14" t="s">
        <v>27</v>
      </c>
      <c r="D381" s="14" t="s">
        <v>12</v>
      </c>
      <c r="E381" s="14">
        <v>3</v>
      </c>
      <c r="F381" s="14">
        <v>82</v>
      </c>
      <c r="G381" s="14">
        <v>76</v>
      </c>
      <c r="H381" s="14">
        <v>75</v>
      </c>
      <c r="I381" s="14">
        <v>80</v>
      </c>
      <c r="J381" s="14" t="s">
        <v>16</v>
      </c>
      <c r="K381" s="14">
        <v>7</v>
      </c>
      <c r="L381" s="14">
        <v>4</v>
      </c>
      <c r="M381" s="15">
        <f t="shared" si="45"/>
        <v>231</v>
      </c>
      <c r="N381" s="15">
        <f t="shared" si="46"/>
        <v>77</v>
      </c>
      <c r="O381" s="14" t="str">
        <f t="shared" si="47"/>
        <v>Good</v>
      </c>
      <c r="P381" s="15">
        <f t="shared" si="48"/>
        <v>25.666666666666668</v>
      </c>
      <c r="Q381" s="14" t="str">
        <f t="shared" si="49"/>
        <v>No</v>
      </c>
      <c r="R381" s="14" t="str">
        <f t="shared" si="50"/>
        <v>Normal Students</v>
      </c>
      <c r="S381" s="14" t="str">
        <f t="shared" si="51"/>
        <v>Unbalanced Student</v>
      </c>
      <c r="T381" s="14" t="str">
        <f t="shared" si="52"/>
        <v>High</v>
      </c>
      <c r="U381" s="21" t="str">
        <f t="shared" si="53"/>
        <v>B</v>
      </c>
    </row>
    <row r="382" spans="2:21">
      <c r="B382" s="20">
        <v>379</v>
      </c>
      <c r="C382" s="14" t="s">
        <v>32</v>
      </c>
      <c r="D382" s="14" t="s">
        <v>15</v>
      </c>
      <c r="E382" s="14">
        <v>4</v>
      </c>
      <c r="F382" s="14">
        <v>87</v>
      </c>
      <c r="G382" s="14">
        <v>83</v>
      </c>
      <c r="H382" s="14">
        <v>81</v>
      </c>
      <c r="I382" s="14">
        <v>85</v>
      </c>
      <c r="J382" s="14" t="s">
        <v>13</v>
      </c>
      <c r="K382" s="14">
        <v>6</v>
      </c>
      <c r="L382" s="14">
        <v>3</v>
      </c>
      <c r="M382" s="15">
        <f t="shared" si="45"/>
        <v>249</v>
      </c>
      <c r="N382" s="15">
        <f t="shared" si="46"/>
        <v>83</v>
      </c>
      <c r="O382" s="14" t="str">
        <f t="shared" si="47"/>
        <v>Excellent</v>
      </c>
      <c r="P382" s="15">
        <f t="shared" si="48"/>
        <v>20.75</v>
      </c>
      <c r="Q382" s="14" t="str">
        <f t="shared" si="49"/>
        <v>No</v>
      </c>
      <c r="R382" s="14" t="str">
        <f t="shared" si="50"/>
        <v>Normal Students</v>
      </c>
      <c r="S382" s="14" t="str">
        <f t="shared" si="51"/>
        <v>Balanced Student</v>
      </c>
      <c r="T382" s="14" t="str">
        <f t="shared" si="52"/>
        <v>High</v>
      </c>
      <c r="U382" s="21" t="str">
        <f t="shared" si="53"/>
        <v>A</v>
      </c>
    </row>
    <row r="383" spans="2:21">
      <c r="B383" s="20">
        <v>380</v>
      </c>
      <c r="C383" s="14" t="s">
        <v>35</v>
      </c>
      <c r="D383" s="14" t="s">
        <v>12</v>
      </c>
      <c r="E383" s="14">
        <v>2</v>
      </c>
      <c r="F383" s="14">
        <v>68</v>
      </c>
      <c r="G383" s="14">
        <v>60</v>
      </c>
      <c r="H383" s="14">
        <v>58</v>
      </c>
      <c r="I383" s="14">
        <v>64</v>
      </c>
      <c r="J383" s="14" t="s">
        <v>16</v>
      </c>
      <c r="K383" s="14">
        <v>8</v>
      </c>
      <c r="L383" s="14">
        <v>5</v>
      </c>
      <c r="M383" s="15">
        <f t="shared" si="45"/>
        <v>182</v>
      </c>
      <c r="N383" s="15">
        <f t="shared" si="46"/>
        <v>60.666666666666664</v>
      </c>
      <c r="O383" s="14" t="str">
        <f t="shared" si="47"/>
        <v>Good</v>
      </c>
      <c r="P383" s="15">
        <f t="shared" si="48"/>
        <v>30.333333333333332</v>
      </c>
      <c r="Q383" s="14" t="str">
        <f t="shared" si="49"/>
        <v>No</v>
      </c>
      <c r="R383" s="14" t="str">
        <f t="shared" si="50"/>
        <v>Normal Students</v>
      </c>
      <c r="S383" s="14" t="str">
        <f t="shared" si="51"/>
        <v>Unbalanced Student</v>
      </c>
      <c r="T383" s="14" t="str">
        <f t="shared" si="52"/>
        <v>Medium</v>
      </c>
      <c r="U383" s="21" t="str">
        <f t="shared" si="53"/>
        <v>C</v>
      </c>
    </row>
    <row r="384" spans="2:21">
      <c r="B384" s="20">
        <v>381</v>
      </c>
      <c r="C384" s="14" t="s">
        <v>64</v>
      </c>
      <c r="D384" s="14" t="s">
        <v>15</v>
      </c>
      <c r="E384" s="14">
        <v>5</v>
      </c>
      <c r="F384" s="14">
        <v>92</v>
      </c>
      <c r="G384" s="14">
        <v>88</v>
      </c>
      <c r="H384" s="14">
        <v>90</v>
      </c>
      <c r="I384" s="14">
        <v>91</v>
      </c>
      <c r="J384" s="14" t="s">
        <v>13</v>
      </c>
      <c r="K384" s="14">
        <v>6</v>
      </c>
      <c r="L384" s="14">
        <v>2</v>
      </c>
      <c r="M384" s="15">
        <f t="shared" si="45"/>
        <v>269</v>
      </c>
      <c r="N384" s="15">
        <f t="shared" si="46"/>
        <v>89.666666666666671</v>
      </c>
      <c r="O384" s="14" t="str">
        <f t="shared" si="47"/>
        <v>Excellent</v>
      </c>
      <c r="P384" s="15">
        <f t="shared" si="48"/>
        <v>17.933333333333334</v>
      </c>
      <c r="Q384" s="14" t="str">
        <f t="shared" si="49"/>
        <v>No</v>
      </c>
      <c r="R384" s="14" t="str">
        <f t="shared" si="50"/>
        <v>Normal Students</v>
      </c>
      <c r="S384" s="14" t="str">
        <f t="shared" si="51"/>
        <v>Balanced Student</v>
      </c>
      <c r="T384" s="14" t="str">
        <f t="shared" si="52"/>
        <v>High</v>
      </c>
      <c r="U384" s="21" t="str">
        <f t="shared" si="53"/>
        <v>A</v>
      </c>
    </row>
    <row r="385" spans="2:21">
      <c r="B385" s="20">
        <v>382</v>
      </c>
      <c r="C385" s="14" t="s">
        <v>49</v>
      </c>
      <c r="D385" s="14" t="s">
        <v>12</v>
      </c>
      <c r="E385" s="14">
        <v>3</v>
      </c>
      <c r="F385" s="14">
        <v>78</v>
      </c>
      <c r="G385" s="14">
        <v>72</v>
      </c>
      <c r="H385" s="14">
        <v>70</v>
      </c>
      <c r="I385" s="14">
        <v>75</v>
      </c>
      <c r="J385" s="14" t="s">
        <v>13</v>
      </c>
      <c r="K385" s="14">
        <v>7</v>
      </c>
      <c r="L385" s="14">
        <v>4</v>
      </c>
      <c r="M385" s="15">
        <f t="shared" si="45"/>
        <v>217</v>
      </c>
      <c r="N385" s="15">
        <f t="shared" si="46"/>
        <v>72.333333333333329</v>
      </c>
      <c r="O385" s="14" t="str">
        <f t="shared" si="47"/>
        <v>Good</v>
      </c>
      <c r="P385" s="15">
        <f t="shared" si="48"/>
        <v>24.111111111111111</v>
      </c>
      <c r="Q385" s="14" t="str">
        <f t="shared" si="49"/>
        <v>No</v>
      </c>
      <c r="R385" s="14" t="str">
        <f t="shared" si="50"/>
        <v>Normal Students</v>
      </c>
      <c r="S385" s="14" t="str">
        <f t="shared" si="51"/>
        <v>Unbalanced Student</v>
      </c>
      <c r="T385" s="14" t="str">
        <f t="shared" si="52"/>
        <v>Medium</v>
      </c>
      <c r="U385" s="21" t="str">
        <f t="shared" si="53"/>
        <v>B</v>
      </c>
    </row>
    <row r="386" spans="2:21">
      <c r="B386" s="20">
        <v>383</v>
      </c>
      <c r="C386" s="14" t="s">
        <v>38</v>
      </c>
      <c r="D386" s="14" t="s">
        <v>15</v>
      </c>
      <c r="E386" s="14">
        <v>4</v>
      </c>
      <c r="F386" s="14">
        <v>85</v>
      </c>
      <c r="G386" s="14">
        <v>80</v>
      </c>
      <c r="H386" s="14">
        <v>82</v>
      </c>
      <c r="I386" s="14">
        <v>84</v>
      </c>
      <c r="J386" s="14" t="s">
        <v>13</v>
      </c>
      <c r="K386" s="14">
        <v>7</v>
      </c>
      <c r="L386" s="14">
        <v>3</v>
      </c>
      <c r="M386" s="15">
        <f t="shared" si="45"/>
        <v>246</v>
      </c>
      <c r="N386" s="15">
        <f t="shared" si="46"/>
        <v>82</v>
      </c>
      <c r="O386" s="14" t="str">
        <f t="shared" si="47"/>
        <v>Excellent</v>
      </c>
      <c r="P386" s="15">
        <f t="shared" si="48"/>
        <v>20.5</v>
      </c>
      <c r="Q386" s="14" t="str">
        <f t="shared" si="49"/>
        <v>No</v>
      </c>
      <c r="R386" s="14" t="str">
        <f t="shared" si="50"/>
        <v>Normal Students</v>
      </c>
      <c r="S386" s="14" t="str">
        <f t="shared" si="51"/>
        <v>Balanced Student</v>
      </c>
      <c r="T386" s="14" t="str">
        <f t="shared" si="52"/>
        <v>High</v>
      </c>
      <c r="U386" s="21" t="str">
        <f t="shared" si="53"/>
        <v>A</v>
      </c>
    </row>
    <row r="387" spans="2:21">
      <c r="B387" s="20">
        <v>384</v>
      </c>
      <c r="C387" s="14" t="s">
        <v>164</v>
      </c>
      <c r="D387" s="14" t="s">
        <v>12</v>
      </c>
      <c r="E387" s="14">
        <v>6</v>
      </c>
      <c r="F387" s="14">
        <v>94</v>
      </c>
      <c r="G387" s="14">
        <v>91</v>
      </c>
      <c r="H387" s="14">
        <v>90</v>
      </c>
      <c r="I387" s="14">
        <v>92</v>
      </c>
      <c r="J387" s="14" t="s">
        <v>16</v>
      </c>
      <c r="K387" s="14">
        <v>6</v>
      </c>
      <c r="L387" s="14">
        <v>2</v>
      </c>
      <c r="M387" s="15">
        <f t="shared" si="45"/>
        <v>273</v>
      </c>
      <c r="N387" s="15">
        <f t="shared" si="46"/>
        <v>91</v>
      </c>
      <c r="O387" s="14" t="str">
        <f t="shared" si="47"/>
        <v>Excellent</v>
      </c>
      <c r="P387" s="15">
        <f t="shared" si="48"/>
        <v>15.166666666666666</v>
      </c>
      <c r="Q387" s="14" t="str">
        <f t="shared" si="49"/>
        <v>No</v>
      </c>
      <c r="R387" s="14" t="str">
        <f t="shared" si="50"/>
        <v>Normal Students</v>
      </c>
      <c r="S387" s="14" t="str">
        <f t="shared" si="51"/>
        <v>Balanced Student</v>
      </c>
      <c r="T387" s="14" t="str">
        <f t="shared" si="52"/>
        <v>High</v>
      </c>
      <c r="U387" s="21" t="str">
        <f t="shared" si="53"/>
        <v>A</v>
      </c>
    </row>
    <row r="388" spans="2:21">
      <c r="B388" s="20">
        <v>385</v>
      </c>
      <c r="C388" s="14" t="s">
        <v>36</v>
      </c>
      <c r="D388" s="14" t="s">
        <v>15</v>
      </c>
      <c r="E388" s="14">
        <v>3</v>
      </c>
      <c r="F388" s="14">
        <v>79</v>
      </c>
      <c r="G388" s="14">
        <v>74</v>
      </c>
      <c r="H388" s="14">
        <v>72</v>
      </c>
      <c r="I388" s="14">
        <v>76</v>
      </c>
      <c r="J388" s="14" t="s">
        <v>13</v>
      </c>
      <c r="K388" s="14">
        <v>7</v>
      </c>
      <c r="L388" s="14">
        <v>4</v>
      </c>
      <c r="M388" s="15">
        <f t="shared" si="45"/>
        <v>222</v>
      </c>
      <c r="N388" s="15">
        <f t="shared" si="46"/>
        <v>74</v>
      </c>
      <c r="O388" s="14" t="str">
        <f t="shared" si="47"/>
        <v>Good</v>
      </c>
      <c r="P388" s="15">
        <f t="shared" si="48"/>
        <v>24.666666666666668</v>
      </c>
      <c r="Q388" s="14" t="str">
        <f t="shared" si="49"/>
        <v>No</v>
      </c>
      <c r="R388" s="14" t="str">
        <f t="shared" si="50"/>
        <v>Normal Students</v>
      </c>
      <c r="S388" s="14" t="str">
        <f t="shared" si="51"/>
        <v>Unbalanced Student</v>
      </c>
      <c r="T388" s="14" t="str">
        <f t="shared" si="52"/>
        <v>Medium</v>
      </c>
      <c r="U388" s="21" t="str">
        <f t="shared" si="53"/>
        <v>B</v>
      </c>
    </row>
    <row r="389" spans="2:21">
      <c r="B389" s="20">
        <v>386</v>
      </c>
      <c r="C389" s="14" t="s">
        <v>23</v>
      </c>
      <c r="D389" s="14" t="s">
        <v>12</v>
      </c>
      <c r="E389" s="14">
        <v>2</v>
      </c>
      <c r="F389" s="14">
        <v>70</v>
      </c>
      <c r="G389" s="14">
        <v>62</v>
      </c>
      <c r="H389" s="14">
        <v>60</v>
      </c>
      <c r="I389" s="14">
        <v>66</v>
      </c>
      <c r="J389" s="14" t="s">
        <v>16</v>
      </c>
      <c r="K389" s="14">
        <v>8</v>
      </c>
      <c r="L389" s="14">
        <v>5</v>
      </c>
      <c r="M389" s="15">
        <f t="shared" ref="M389:M452" si="54">SUM(G389:I389)</f>
        <v>188</v>
      </c>
      <c r="N389" s="15">
        <f t="shared" ref="N389:N452" si="55">AVERAGE(G389:I389)</f>
        <v>62.666666666666664</v>
      </c>
      <c r="O389" s="14" t="str">
        <f t="shared" ref="O389:O452" si="56">IF(N389&gt;= 80, "Excellent",IF(N389&gt;=60, "Good","Needs Improvement"))</f>
        <v>Good</v>
      </c>
      <c r="P389" s="15">
        <f t="shared" ref="P389:P452" si="57">IF(E389,N389/E389,0)</f>
        <v>31.333333333333332</v>
      </c>
      <c r="Q389" s="14" t="str">
        <f t="shared" ref="Q389:Q452" si="58">IF(AND(F389 &lt; 75,N389 &lt; 60),"Yes", "No")</f>
        <v>No</v>
      </c>
      <c r="R389" s="14" t="str">
        <f t="shared" ref="R389:R452" si="59">IF(AND(N389&gt;=80,E389&lt;=2),"Smart Students","Normal Students")</f>
        <v>Normal Students</v>
      </c>
      <c r="S389" s="14" t="str">
        <f t="shared" ref="S389:S452" si="60">IF(AND(F389&gt;=75,K389&gt;=6,N389&gt;=80),"Balanced Student","Unbalanced Student")</f>
        <v>Unbalanced Student</v>
      </c>
      <c r="T389" s="14" t="str">
        <f t="shared" ref="T389:T452" si="61">IF(F389&gt;= 80, "High",
IF(F389&gt;=60,"Medium", "Low"))</f>
        <v>Medium</v>
      </c>
      <c r="U389" s="21" t="str">
        <f t="shared" ref="U389:U452" si="62">VLOOKUP(N389,$AA$5:$AB$9,2,1)</f>
        <v>C</v>
      </c>
    </row>
    <row r="390" spans="2:21">
      <c r="B390" s="20">
        <v>387</v>
      </c>
      <c r="C390" s="14" t="s">
        <v>58</v>
      </c>
      <c r="D390" s="14" t="s">
        <v>15</v>
      </c>
      <c r="E390" s="14">
        <v>5</v>
      </c>
      <c r="F390" s="14">
        <v>90</v>
      </c>
      <c r="G390" s="14">
        <v>86</v>
      </c>
      <c r="H390" s="14">
        <v>88</v>
      </c>
      <c r="I390" s="14">
        <v>89</v>
      </c>
      <c r="J390" s="14" t="s">
        <v>13</v>
      </c>
      <c r="K390" s="14">
        <v>6</v>
      </c>
      <c r="L390" s="14">
        <v>2</v>
      </c>
      <c r="M390" s="15">
        <f t="shared" si="54"/>
        <v>263</v>
      </c>
      <c r="N390" s="15">
        <f t="shared" si="55"/>
        <v>87.666666666666671</v>
      </c>
      <c r="O390" s="14" t="str">
        <f t="shared" si="56"/>
        <v>Excellent</v>
      </c>
      <c r="P390" s="15">
        <f t="shared" si="57"/>
        <v>17.533333333333335</v>
      </c>
      <c r="Q390" s="14" t="str">
        <f t="shared" si="58"/>
        <v>No</v>
      </c>
      <c r="R390" s="14" t="str">
        <f t="shared" si="59"/>
        <v>Normal Students</v>
      </c>
      <c r="S390" s="14" t="str">
        <f t="shared" si="60"/>
        <v>Balanced Student</v>
      </c>
      <c r="T390" s="14" t="str">
        <f t="shared" si="61"/>
        <v>High</v>
      </c>
      <c r="U390" s="21" t="str">
        <f t="shared" si="62"/>
        <v>A</v>
      </c>
    </row>
    <row r="391" spans="2:21">
      <c r="B391" s="20">
        <v>388</v>
      </c>
      <c r="C391" s="14" t="s">
        <v>59</v>
      </c>
      <c r="D391" s="14" t="s">
        <v>12</v>
      </c>
      <c r="E391" s="14">
        <v>3</v>
      </c>
      <c r="F391" s="14">
        <v>82</v>
      </c>
      <c r="G391" s="14">
        <v>76</v>
      </c>
      <c r="H391" s="14">
        <v>75</v>
      </c>
      <c r="I391" s="14">
        <v>80</v>
      </c>
      <c r="J391" s="14" t="s">
        <v>16</v>
      </c>
      <c r="K391" s="14">
        <v>7</v>
      </c>
      <c r="L391" s="14">
        <v>4</v>
      </c>
      <c r="M391" s="15">
        <f t="shared" si="54"/>
        <v>231</v>
      </c>
      <c r="N391" s="15">
        <f t="shared" si="55"/>
        <v>77</v>
      </c>
      <c r="O391" s="14" t="str">
        <f t="shared" si="56"/>
        <v>Good</v>
      </c>
      <c r="P391" s="15">
        <f t="shared" si="57"/>
        <v>25.666666666666668</v>
      </c>
      <c r="Q391" s="14" t="str">
        <f t="shared" si="58"/>
        <v>No</v>
      </c>
      <c r="R391" s="14" t="str">
        <f t="shared" si="59"/>
        <v>Normal Students</v>
      </c>
      <c r="S391" s="14" t="str">
        <f t="shared" si="60"/>
        <v>Unbalanced Student</v>
      </c>
      <c r="T391" s="14" t="str">
        <f t="shared" si="61"/>
        <v>High</v>
      </c>
      <c r="U391" s="21" t="str">
        <f t="shared" si="62"/>
        <v>B</v>
      </c>
    </row>
    <row r="392" spans="2:21">
      <c r="B392" s="20">
        <v>389</v>
      </c>
      <c r="C392" s="14" t="s">
        <v>155</v>
      </c>
      <c r="D392" s="14" t="s">
        <v>15</v>
      </c>
      <c r="E392" s="14">
        <v>4</v>
      </c>
      <c r="F392" s="14">
        <v>87</v>
      </c>
      <c r="G392" s="14">
        <v>83</v>
      </c>
      <c r="H392" s="14">
        <v>81</v>
      </c>
      <c r="I392" s="14">
        <v>85</v>
      </c>
      <c r="J392" s="14" t="s">
        <v>13</v>
      </c>
      <c r="K392" s="14">
        <v>6</v>
      </c>
      <c r="L392" s="14">
        <v>3</v>
      </c>
      <c r="M392" s="15">
        <f t="shared" si="54"/>
        <v>249</v>
      </c>
      <c r="N392" s="15">
        <f t="shared" si="55"/>
        <v>83</v>
      </c>
      <c r="O392" s="14" t="str">
        <f t="shared" si="56"/>
        <v>Excellent</v>
      </c>
      <c r="P392" s="15">
        <f t="shared" si="57"/>
        <v>20.75</v>
      </c>
      <c r="Q392" s="14" t="str">
        <f t="shared" si="58"/>
        <v>No</v>
      </c>
      <c r="R392" s="14" t="str">
        <f t="shared" si="59"/>
        <v>Normal Students</v>
      </c>
      <c r="S392" s="14" t="str">
        <f t="shared" si="60"/>
        <v>Balanced Student</v>
      </c>
      <c r="T392" s="14" t="str">
        <f t="shared" si="61"/>
        <v>High</v>
      </c>
      <c r="U392" s="21" t="str">
        <f t="shared" si="62"/>
        <v>A</v>
      </c>
    </row>
    <row r="393" spans="2:21">
      <c r="B393" s="20">
        <v>390</v>
      </c>
      <c r="C393" s="14" t="s">
        <v>45</v>
      </c>
      <c r="D393" s="14" t="s">
        <v>12</v>
      </c>
      <c r="E393" s="14">
        <v>2</v>
      </c>
      <c r="F393" s="14">
        <v>68</v>
      </c>
      <c r="G393" s="14">
        <v>60</v>
      </c>
      <c r="H393" s="14">
        <v>58</v>
      </c>
      <c r="I393" s="14">
        <v>64</v>
      </c>
      <c r="J393" s="14" t="s">
        <v>16</v>
      </c>
      <c r="K393" s="14">
        <v>8</v>
      </c>
      <c r="L393" s="14">
        <v>5</v>
      </c>
      <c r="M393" s="15">
        <f t="shared" si="54"/>
        <v>182</v>
      </c>
      <c r="N393" s="15">
        <f t="shared" si="55"/>
        <v>60.666666666666664</v>
      </c>
      <c r="O393" s="14" t="str">
        <f t="shared" si="56"/>
        <v>Good</v>
      </c>
      <c r="P393" s="15">
        <f t="shared" si="57"/>
        <v>30.333333333333332</v>
      </c>
      <c r="Q393" s="14" t="str">
        <f t="shared" si="58"/>
        <v>No</v>
      </c>
      <c r="R393" s="14" t="str">
        <f t="shared" si="59"/>
        <v>Normal Students</v>
      </c>
      <c r="S393" s="14" t="str">
        <f t="shared" si="60"/>
        <v>Unbalanced Student</v>
      </c>
      <c r="T393" s="14" t="str">
        <f t="shared" si="61"/>
        <v>Medium</v>
      </c>
      <c r="U393" s="21" t="str">
        <f t="shared" si="62"/>
        <v>C</v>
      </c>
    </row>
    <row r="394" spans="2:21">
      <c r="B394" s="20">
        <v>391</v>
      </c>
      <c r="C394" s="14" t="s">
        <v>40</v>
      </c>
      <c r="D394" s="14" t="s">
        <v>15</v>
      </c>
      <c r="E394" s="14">
        <v>5</v>
      </c>
      <c r="F394" s="14">
        <v>92</v>
      </c>
      <c r="G394" s="14">
        <v>88</v>
      </c>
      <c r="H394" s="14">
        <v>90</v>
      </c>
      <c r="I394" s="14">
        <v>91</v>
      </c>
      <c r="J394" s="14" t="s">
        <v>13</v>
      </c>
      <c r="K394" s="14">
        <v>6</v>
      </c>
      <c r="L394" s="14">
        <v>2</v>
      </c>
      <c r="M394" s="15">
        <f t="shared" si="54"/>
        <v>269</v>
      </c>
      <c r="N394" s="15">
        <f t="shared" si="55"/>
        <v>89.666666666666671</v>
      </c>
      <c r="O394" s="14" t="str">
        <f t="shared" si="56"/>
        <v>Excellent</v>
      </c>
      <c r="P394" s="15">
        <f t="shared" si="57"/>
        <v>17.933333333333334</v>
      </c>
      <c r="Q394" s="14" t="str">
        <f t="shared" si="58"/>
        <v>No</v>
      </c>
      <c r="R394" s="14" t="str">
        <f t="shared" si="59"/>
        <v>Normal Students</v>
      </c>
      <c r="S394" s="14" t="str">
        <f t="shared" si="60"/>
        <v>Balanced Student</v>
      </c>
      <c r="T394" s="14" t="str">
        <f t="shared" si="61"/>
        <v>High</v>
      </c>
      <c r="U394" s="21" t="str">
        <f t="shared" si="62"/>
        <v>A</v>
      </c>
    </row>
    <row r="395" spans="2:21">
      <c r="B395" s="20">
        <v>392</v>
      </c>
      <c r="C395" s="14" t="s">
        <v>63</v>
      </c>
      <c r="D395" s="14" t="s">
        <v>12</v>
      </c>
      <c r="E395" s="14">
        <v>3</v>
      </c>
      <c r="F395" s="14">
        <v>78</v>
      </c>
      <c r="G395" s="14">
        <v>72</v>
      </c>
      <c r="H395" s="14">
        <v>70</v>
      </c>
      <c r="I395" s="14">
        <v>75</v>
      </c>
      <c r="J395" s="14" t="s">
        <v>13</v>
      </c>
      <c r="K395" s="14">
        <v>7</v>
      </c>
      <c r="L395" s="14">
        <v>4</v>
      </c>
      <c r="M395" s="15">
        <f t="shared" si="54"/>
        <v>217</v>
      </c>
      <c r="N395" s="15">
        <f t="shared" si="55"/>
        <v>72.333333333333329</v>
      </c>
      <c r="O395" s="14" t="str">
        <f t="shared" si="56"/>
        <v>Good</v>
      </c>
      <c r="P395" s="15">
        <f t="shared" si="57"/>
        <v>24.111111111111111</v>
      </c>
      <c r="Q395" s="14" t="str">
        <f t="shared" si="58"/>
        <v>No</v>
      </c>
      <c r="R395" s="14" t="str">
        <f t="shared" si="59"/>
        <v>Normal Students</v>
      </c>
      <c r="S395" s="14" t="str">
        <f t="shared" si="60"/>
        <v>Unbalanced Student</v>
      </c>
      <c r="T395" s="14" t="str">
        <f t="shared" si="61"/>
        <v>Medium</v>
      </c>
      <c r="U395" s="21" t="str">
        <f t="shared" si="62"/>
        <v>B</v>
      </c>
    </row>
    <row r="396" spans="2:21">
      <c r="B396" s="20">
        <v>393</v>
      </c>
      <c r="C396" s="14" t="s">
        <v>72</v>
      </c>
      <c r="D396" s="14" t="s">
        <v>12</v>
      </c>
      <c r="E396" s="14">
        <v>4</v>
      </c>
      <c r="F396" s="14">
        <v>85</v>
      </c>
      <c r="G396" s="14">
        <v>80</v>
      </c>
      <c r="H396" s="14">
        <v>82</v>
      </c>
      <c r="I396" s="14">
        <v>84</v>
      </c>
      <c r="J396" s="14" t="s">
        <v>13</v>
      </c>
      <c r="K396" s="14">
        <v>7</v>
      </c>
      <c r="L396" s="14">
        <v>3</v>
      </c>
      <c r="M396" s="15">
        <f t="shared" si="54"/>
        <v>246</v>
      </c>
      <c r="N396" s="15">
        <f t="shared" si="55"/>
        <v>82</v>
      </c>
      <c r="O396" s="14" t="str">
        <f t="shared" si="56"/>
        <v>Excellent</v>
      </c>
      <c r="P396" s="15">
        <f t="shared" si="57"/>
        <v>20.5</v>
      </c>
      <c r="Q396" s="14" t="str">
        <f t="shared" si="58"/>
        <v>No</v>
      </c>
      <c r="R396" s="14" t="str">
        <f t="shared" si="59"/>
        <v>Normal Students</v>
      </c>
      <c r="S396" s="14" t="str">
        <f t="shared" si="60"/>
        <v>Balanced Student</v>
      </c>
      <c r="T396" s="14" t="str">
        <f t="shared" si="61"/>
        <v>High</v>
      </c>
      <c r="U396" s="21" t="str">
        <f t="shared" si="62"/>
        <v>A</v>
      </c>
    </row>
    <row r="397" spans="2:21">
      <c r="B397" s="20">
        <v>394</v>
      </c>
      <c r="C397" s="14" t="s">
        <v>30</v>
      </c>
      <c r="D397" s="14" t="s">
        <v>15</v>
      </c>
      <c r="E397" s="14">
        <v>6</v>
      </c>
      <c r="F397" s="14">
        <v>94</v>
      </c>
      <c r="G397" s="14">
        <v>91</v>
      </c>
      <c r="H397" s="14">
        <v>90</v>
      </c>
      <c r="I397" s="14">
        <v>92</v>
      </c>
      <c r="J397" s="14" t="s">
        <v>16</v>
      </c>
      <c r="K397" s="14">
        <v>6</v>
      </c>
      <c r="L397" s="14">
        <v>2</v>
      </c>
      <c r="M397" s="15">
        <f t="shared" si="54"/>
        <v>273</v>
      </c>
      <c r="N397" s="15">
        <f t="shared" si="55"/>
        <v>91</v>
      </c>
      <c r="O397" s="14" t="str">
        <f t="shared" si="56"/>
        <v>Excellent</v>
      </c>
      <c r="P397" s="15">
        <f t="shared" si="57"/>
        <v>15.166666666666666</v>
      </c>
      <c r="Q397" s="14" t="str">
        <f t="shared" si="58"/>
        <v>No</v>
      </c>
      <c r="R397" s="14" t="str">
        <f t="shared" si="59"/>
        <v>Normal Students</v>
      </c>
      <c r="S397" s="14" t="str">
        <f t="shared" si="60"/>
        <v>Balanced Student</v>
      </c>
      <c r="T397" s="14" t="str">
        <f t="shared" si="61"/>
        <v>High</v>
      </c>
      <c r="U397" s="21" t="str">
        <f t="shared" si="62"/>
        <v>A</v>
      </c>
    </row>
    <row r="398" spans="2:21">
      <c r="B398" s="20">
        <v>395</v>
      </c>
      <c r="C398" s="14" t="s">
        <v>85</v>
      </c>
      <c r="D398" s="14" t="s">
        <v>12</v>
      </c>
      <c r="E398" s="14">
        <v>2</v>
      </c>
      <c r="F398" s="14">
        <v>70</v>
      </c>
      <c r="G398" s="14">
        <v>62</v>
      </c>
      <c r="H398" s="14">
        <v>60</v>
      </c>
      <c r="I398" s="14">
        <v>66</v>
      </c>
      <c r="J398" s="14" t="s">
        <v>16</v>
      </c>
      <c r="K398" s="14">
        <v>8</v>
      </c>
      <c r="L398" s="14">
        <v>5</v>
      </c>
      <c r="M398" s="15">
        <f t="shared" si="54"/>
        <v>188</v>
      </c>
      <c r="N398" s="15">
        <f t="shared" si="55"/>
        <v>62.666666666666664</v>
      </c>
      <c r="O398" s="14" t="str">
        <f t="shared" si="56"/>
        <v>Good</v>
      </c>
      <c r="P398" s="15">
        <f t="shared" si="57"/>
        <v>31.333333333333332</v>
      </c>
      <c r="Q398" s="14" t="str">
        <f t="shared" si="58"/>
        <v>No</v>
      </c>
      <c r="R398" s="14" t="str">
        <f t="shared" si="59"/>
        <v>Normal Students</v>
      </c>
      <c r="S398" s="14" t="str">
        <f t="shared" si="60"/>
        <v>Unbalanced Student</v>
      </c>
      <c r="T398" s="14" t="str">
        <f t="shared" si="61"/>
        <v>Medium</v>
      </c>
      <c r="U398" s="21" t="str">
        <f t="shared" si="62"/>
        <v>C</v>
      </c>
    </row>
    <row r="399" spans="2:21">
      <c r="B399" s="20">
        <v>396</v>
      </c>
      <c r="C399" s="14" t="s">
        <v>144</v>
      </c>
      <c r="D399" s="14" t="s">
        <v>15</v>
      </c>
      <c r="E399" s="14">
        <v>5</v>
      </c>
      <c r="F399" s="14">
        <v>90</v>
      </c>
      <c r="G399" s="14">
        <v>86</v>
      </c>
      <c r="H399" s="14">
        <v>88</v>
      </c>
      <c r="I399" s="14">
        <v>89</v>
      </c>
      <c r="J399" s="14" t="s">
        <v>13</v>
      </c>
      <c r="K399" s="14">
        <v>6</v>
      </c>
      <c r="L399" s="14">
        <v>2</v>
      </c>
      <c r="M399" s="15">
        <f t="shared" si="54"/>
        <v>263</v>
      </c>
      <c r="N399" s="15">
        <f t="shared" si="55"/>
        <v>87.666666666666671</v>
      </c>
      <c r="O399" s="14" t="str">
        <f t="shared" si="56"/>
        <v>Excellent</v>
      </c>
      <c r="P399" s="15">
        <f t="shared" si="57"/>
        <v>17.533333333333335</v>
      </c>
      <c r="Q399" s="14" t="str">
        <f t="shared" si="58"/>
        <v>No</v>
      </c>
      <c r="R399" s="14" t="str">
        <f t="shared" si="59"/>
        <v>Normal Students</v>
      </c>
      <c r="S399" s="14" t="str">
        <f t="shared" si="60"/>
        <v>Balanced Student</v>
      </c>
      <c r="T399" s="14" t="str">
        <f t="shared" si="61"/>
        <v>High</v>
      </c>
      <c r="U399" s="21" t="str">
        <f t="shared" si="62"/>
        <v>A</v>
      </c>
    </row>
    <row r="400" spans="2:21">
      <c r="B400" s="20">
        <v>397</v>
      </c>
      <c r="C400" s="14" t="s">
        <v>147</v>
      </c>
      <c r="D400" s="14" t="s">
        <v>12</v>
      </c>
      <c r="E400" s="14">
        <v>3</v>
      </c>
      <c r="F400" s="14">
        <v>82</v>
      </c>
      <c r="G400" s="14">
        <v>76</v>
      </c>
      <c r="H400" s="14">
        <v>75</v>
      </c>
      <c r="I400" s="14">
        <v>80</v>
      </c>
      <c r="J400" s="14" t="s">
        <v>16</v>
      </c>
      <c r="K400" s="14">
        <v>7</v>
      </c>
      <c r="L400" s="14">
        <v>4</v>
      </c>
      <c r="M400" s="15">
        <f t="shared" si="54"/>
        <v>231</v>
      </c>
      <c r="N400" s="15">
        <f t="shared" si="55"/>
        <v>77</v>
      </c>
      <c r="O400" s="14" t="str">
        <f t="shared" si="56"/>
        <v>Good</v>
      </c>
      <c r="P400" s="15">
        <f t="shared" si="57"/>
        <v>25.666666666666668</v>
      </c>
      <c r="Q400" s="14" t="str">
        <f t="shared" si="58"/>
        <v>No</v>
      </c>
      <c r="R400" s="14" t="str">
        <f t="shared" si="59"/>
        <v>Normal Students</v>
      </c>
      <c r="S400" s="14" t="str">
        <f t="shared" si="60"/>
        <v>Unbalanced Student</v>
      </c>
      <c r="T400" s="14" t="str">
        <f t="shared" si="61"/>
        <v>High</v>
      </c>
      <c r="U400" s="21" t="str">
        <f t="shared" si="62"/>
        <v>B</v>
      </c>
    </row>
    <row r="401" spans="2:21">
      <c r="B401" s="20">
        <v>398</v>
      </c>
      <c r="C401" s="14" t="s">
        <v>40</v>
      </c>
      <c r="D401" s="14" t="s">
        <v>15</v>
      </c>
      <c r="E401" s="14">
        <v>4</v>
      </c>
      <c r="F401" s="14">
        <v>87</v>
      </c>
      <c r="G401" s="14">
        <v>83</v>
      </c>
      <c r="H401" s="14">
        <v>81</v>
      </c>
      <c r="I401" s="14">
        <v>85</v>
      </c>
      <c r="J401" s="14" t="s">
        <v>13</v>
      </c>
      <c r="K401" s="14">
        <v>6</v>
      </c>
      <c r="L401" s="14">
        <v>3</v>
      </c>
      <c r="M401" s="15">
        <f t="shared" si="54"/>
        <v>249</v>
      </c>
      <c r="N401" s="15">
        <f t="shared" si="55"/>
        <v>83</v>
      </c>
      <c r="O401" s="14" t="str">
        <f t="shared" si="56"/>
        <v>Excellent</v>
      </c>
      <c r="P401" s="15">
        <f t="shared" si="57"/>
        <v>20.75</v>
      </c>
      <c r="Q401" s="14" t="str">
        <f t="shared" si="58"/>
        <v>No</v>
      </c>
      <c r="R401" s="14" t="str">
        <f t="shared" si="59"/>
        <v>Normal Students</v>
      </c>
      <c r="S401" s="14" t="str">
        <f t="shared" si="60"/>
        <v>Balanced Student</v>
      </c>
      <c r="T401" s="14" t="str">
        <f t="shared" si="61"/>
        <v>High</v>
      </c>
      <c r="U401" s="21" t="str">
        <f t="shared" si="62"/>
        <v>A</v>
      </c>
    </row>
    <row r="402" spans="2:21">
      <c r="B402" s="20">
        <v>399</v>
      </c>
      <c r="C402" s="14" t="s">
        <v>91</v>
      </c>
      <c r="D402" s="14" t="s">
        <v>15</v>
      </c>
      <c r="E402" s="14">
        <v>2</v>
      </c>
      <c r="F402" s="14">
        <v>68</v>
      </c>
      <c r="G402" s="14">
        <v>60</v>
      </c>
      <c r="H402" s="14">
        <v>58</v>
      </c>
      <c r="I402" s="14">
        <v>64</v>
      </c>
      <c r="J402" s="14" t="s">
        <v>16</v>
      </c>
      <c r="K402" s="14">
        <v>8</v>
      </c>
      <c r="L402" s="14">
        <v>5</v>
      </c>
      <c r="M402" s="15">
        <f t="shared" si="54"/>
        <v>182</v>
      </c>
      <c r="N402" s="15">
        <f t="shared" si="55"/>
        <v>60.666666666666664</v>
      </c>
      <c r="O402" s="14" t="str">
        <f t="shared" si="56"/>
        <v>Good</v>
      </c>
      <c r="P402" s="15">
        <f t="shared" si="57"/>
        <v>30.333333333333332</v>
      </c>
      <c r="Q402" s="14" t="str">
        <f t="shared" si="58"/>
        <v>No</v>
      </c>
      <c r="R402" s="14" t="str">
        <f t="shared" si="59"/>
        <v>Normal Students</v>
      </c>
      <c r="S402" s="14" t="str">
        <f t="shared" si="60"/>
        <v>Unbalanced Student</v>
      </c>
      <c r="T402" s="14" t="str">
        <f t="shared" si="61"/>
        <v>Medium</v>
      </c>
      <c r="U402" s="21" t="str">
        <f t="shared" si="62"/>
        <v>C</v>
      </c>
    </row>
    <row r="403" spans="2:21">
      <c r="B403" s="20">
        <v>400</v>
      </c>
      <c r="C403" s="14" t="s">
        <v>55</v>
      </c>
      <c r="D403" s="14" t="s">
        <v>12</v>
      </c>
      <c r="E403" s="14">
        <v>5</v>
      </c>
      <c r="F403" s="14">
        <v>92</v>
      </c>
      <c r="G403" s="14">
        <v>88</v>
      </c>
      <c r="H403" s="14">
        <v>90</v>
      </c>
      <c r="I403" s="14">
        <v>91</v>
      </c>
      <c r="J403" s="14" t="s">
        <v>13</v>
      </c>
      <c r="K403" s="14">
        <v>6</v>
      </c>
      <c r="L403" s="14">
        <v>2</v>
      </c>
      <c r="M403" s="15">
        <f t="shared" si="54"/>
        <v>269</v>
      </c>
      <c r="N403" s="15">
        <f t="shared" si="55"/>
        <v>89.666666666666671</v>
      </c>
      <c r="O403" s="14" t="str">
        <f t="shared" si="56"/>
        <v>Excellent</v>
      </c>
      <c r="P403" s="15">
        <f t="shared" si="57"/>
        <v>17.933333333333334</v>
      </c>
      <c r="Q403" s="14" t="str">
        <f t="shared" si="58"/>
        <v>No</v>
      </c>
      <c r="R403" s="14" t="str">
        <f t="shared" si="59"/>
        <v>Normal Students</v>
      </c>
      <c r="S403" s="14" t="str">
        <f t="shared" si="60"/>
        <v>Balanced Student</v>
      </c>
      <c r="T403" s="14" t="str">
        <f t="shared" si="61"/>
        <v>High</v>
      </c>
      <c r="U403" s="21" t="str">
        <f t="shared" si="62"/>
        <v>A</v>
      </c>
    </row>
    <row r="404" spans="2:21">
      <c r="B404" s="20">
        <v>401</v>
      </c>
      <c r="C404" s="14" t="s">
        <v>75</v>
      </c>
      <c r="D404" s="14" t="s">
        <v>12</v>
      </c>
      <c r="E404" s="14">
        <v>3</v>
      </c>
      <c r="F404" s="14">
        <v>80</v>
      </c>
      <c r="G404" s="14">
        <v>75</v>
      </c>
      <c r="H404" s="14">
        <v>73</v>
      </c>
      <c r="I404" s="14">
        <v>78</v>
      </c>
      <c r="J404" s="14" t="s">
        <v>13</v>
      </c>
      <c r="K404" s="14">
        <v>7</v>
      </c>
      <c r="L404" s="14">
        <v>4</v>
      </c>
      <c r="M404" s="15">
        <f t="shared" si="54"/>
        <v>226</v>
      </c>
      <c r="N404" s="15">
        <f t="shared" si="55"/>
        <v>75.333333333333329</v>
      </c>
      <c r="O404" s="14" t="str">
        <f t="shared" si="56"/>
        <v>Good</v>
      </c>
      <c r="P404" s="15">
        <f t="shared" si="57"/>
        <v>25.111111111111111</v>
      </c>
      <c r="Q404" s="14" t="str">
        <f t="shared" si="58"/>
        <v>No</v>
      </c>
      <c r="R404" s="14" t="str">
        <f t="shared" si="59"/>
        <v>Normal Students</v>
      </c>
      <c r="S404" s="14" t="str">
        <f t="shared" si="60"/>
        <v>Unbalanced Student</v>
      </c>
      <c r="T404" s="14" t="str">
        <f t="shared" si="61"/>
        <v>High</v>
      </c>
      <c r="U404" s="21" t="str">
        <f t="shared" si="62"/>
        <v>B</v>
      </c>
    </row>
    <row r="405" spans="2:21">
      <c r="B405" s="20">
        <v>402</v>
      </c>
      <c r="C405" s="14" t="s">
        <v>158</v>
      </c>
      <c r="D405" s="14" t="s">
        <v>159</v>
      </c>
      <c r="E405" s="14">
        <v>5</v>
      </c>
      <c r="F405" s="14">
        <v>90</v>
      </c>
      <c r="G405" s="14">
        <v>86</v>
      </c>
      <c r="H405" s="14">
        <v>88</v>
      </c>
      <c r="I405" s="14">
        <v>89</v>
      </c>
      <c r="J405" s="14" t="s">
        <v>67</v>
      </c>
      <c r="K405" s="14">
        <v>6</v>
      </c>
      <c r="L405" s="14">
        <v>2</v>
      </c>
      <c r="M405" s="15">
        <f t="shared" si="54"/>
        <v>263</v>
      </c>
      <c r="N405" s="15">
        <f t="shared" si="55"/>
        <v>87.666666666666671</v>
      </c>
      <c r="O405" s="14" t="str">
        <f t="shared" si="56"/>
        <v>Excellent</v>
      </c>
      <c r="P405" s="15">
        <f t="shared" si="57"/>
        <v>17.533333333333335</v>
      </c>
      <c r="Q405" s="14" t="str">
        <f t="shared" si="58"/>
        <v>No</v>
      </c>
      <c r="R405" s="14" t="str">
        <f t="shared" si="59"/>
        <v>Normal Students</v>
      </c>
      <c r="S405" s="14" t="str">
        <f t="shared" si="60"/>
        <v>Balanced Student</v>
      </c>
      <c r="T405" s="14" t="str">
        <f t="shared" si="61"/>
        <v>High</v>
      </c>
      <c r="U405" s="21" t="str">
        <f t="shared" si="62"/>
        <v>A</v>
      </c>
    </row>
    <row r="406" spans="2:21">
      <c r="B406" s="20">
        <v>403</v>
      </c>
      <c r="C406" s="14" t="s">
        <v>63</v>
      </c>
      <c r="D406" s="14" t="s">
        <v>12</v>
      </c>
      <c r="E406" s="14">
        <v>0</v>
      </c>
      <c r="F406" s="14">
        <v>85</v>
      </c>
      <c r="G406" s="14">
        <v>80</v>
      </c>
      <c r="H406" s="14">
        <v>82</v>
      </c>
      <c r="I406" s="14">
        <v>84</v>
      </c>
      <c r="J406" s="14" t="s">
        <v>13</v>
      </c>
      <c r="K406" s="14">
        <v>7</v>
      </c>
      <c r="L406" s="14">
        <v>3</v>
      </c>
      <c r="M406" s="15">
        <f t="shared" si="54"/>
        <v>246</v>
      </c>
      <c r="N406" s="15">
        <f t="shared" si="55"/>
        <v>82</v>
      </c>
      <c r="O406" s="14" t="str">
        <f t="shared" si="56"/>
        <v>Excellent</v>
      </c>
      <c r="P406" s="15">
        <f t="shared" si="57"/>
        <v>0</v>
      </c>
      <c r="Q406" s="14" t="str">
        <f t="shared" si="58"/>
        <v>No</v>
      </c>
      <c r="R406" s="14" t="str">
        <f t="shared" si="59"/>
        <v>Smart Students</v>
      </c>
      <c r="S406" s="14" t="str">
        <f t="shared" si="60"/>
        <v>Balanced Student</v>
      </c>
      <c r="T406" s="14" t="str">
        <f t="shared" si="61"/>
        <v>High</v>
      </c>
      <c r="U406" s="21" t="str">
        <f t="shared" si="62"/>
        <v>A</v>
      </c>
    </row>
    <row r="407" spans="2:21">
      <c r="B407" s="20">
        <v>404</v>
      </c>
      <c r="C407" s="14" t="s">
        <v>160</v>
      </c>
      <c r="D407" s="14" t="s">
        <v>161</v>
      </c>
      <c r="E407" s="14">
        <v>2</v>
      </c>
      <c r="F407" s="14">
        <v>70</v>
      </c>
      <c r="G407" s="14">
        <v>62</v>
      </c>
      <c r="H407" s="14">
        <v>60</v>
      </c>
      <c r="I407" s="14">
        <v>66</v>
      </c>
      <c r="J407" s="14" t="s">
        <v>162</v>
      </c>
      <c r="K407" s="14">
        <v>8</v>
      </c>
      <c r="L407" s="14">
        <v>5</v>
      </c>
      <c r="M407" s="15">
        <f t="shared" si="54"/>
        <v>188</v>
      </c>
      <c r="N407" s="15">
        <f t="shared" si="55"/>
        <v>62.666666666666664</v>
      </c>
      <c r="O407" s="14" t="str">
        <f t="shared" si="56"/>
        <v>Good</v>
      </c>
      <c r="P407" s="15">
        <f t="shared" si="57"/>
        <v>31.333333333333332</v>
      </c>
      <c r="Q407" s="14" t="str">
        <f t="shared" si="58"/>
        <v>No</v>
      </c>
      <c r="R407" s="14" t="str">
        <f t="shared" si="59"/>
        <v>Normal Students</v>
      </c>
      <c r="S407" s="14" t="str">
        <f t="shared" si="60"/>
        <v>Unbalanced Student</v>
      </c>
      <c r="T407" s="14" t="str">
        <f t="shared" si="61"/>
        <v>Medium</v>
      </c>
      <c r="U407" s="21" t="str">
        <f t="shared" si="62"/>
        <v>C</v>
      </c>
    </row>
    <row r="408" spans="2:21">
      <c r="B408" s="20">
        <v>405</v>
      </c>
      <c r="C408" s="14" t="s">
        <v>40</v>
      </c>
      <c r="D408" s="14" t="s">
        <v>15</v>
      </c>
      <c r="E408" s="14">
        <v>5</v>
      </c>
      <c r="F408" s="14">
        <v>92</v>
      </c>
      <c r="G408" s="14">
        <v>88</v>
      </c>
      <c r="H408" s="14">
        <v>90</v>
      </c>
      <c r="I408" s="14">
        <v>91</v>
      </c>
      <c r="J408" s="14" t="s">
        <v>13</v>
      </c>
      <c r="K408" s="14">
        <v>0</v>
      </c>
      <c r="L408" s="14">
        <v>2</v>
      </c>
      <c r="M408" s="15">
        <f t="shared" si="54"/>
        <v>269</v>
      </c>
      <c r="N408" s="15">
        <f t="shared" si="55"/>
        <v>89.666666666666671</v>
      </c>
      <c r="O408" s="14" t="str">
        <f t="shared" si="56"/>
        <v>Excellent</v>
      </c>
      <c r="P408" s="15">
        <f t="shared" si="57"/>
        <v>17.933333333333334</v>
      </c>
      <c r="Q408" s="14" t="str">
        <f t="shared" si="58"/>
        <v>No</v>
      </c>
      <c r="R408" s="14" t="str">
        <f t="shared" si="59"/>
        <v>Normal Students</v>
      </c>
      <c r="S408" s="14" t="str">
        <f t="shared" si="60"/>
        <v>Unbalanced Student</v>
      </c>
      <c r="T408" s="14" t="str">
        <f t="shared" si="61"/>
        <v>High</v>
      </c>
      <c r="U408" s="21" t="str">
        <f t="shared" si="62"/>
        <v>A</v>
      </c>
    </row>
    <row r="409" spans="2:21">
      <c r="B409" s="20">
        <v>406</v>
      </c>
      <c r="C409" s="14" t="s">
        <v>71</v>
      </c>
      <c r="D409" s="14" t="s">
        <v>12</v>
      </c>
      <c r="E409" s="14">
        <v>3</v>
      </c>
      <c r="F409" s="14">
        <v>78</v>
      </c>
      <c r="G409" s="14">
        <v>72</v>
      </c>
      <c r="H409" s="14">
        <v>70</v>
      </c>
      <c r="I409" s="14">
        <v>75</v>
      </c>
      <c r="J409" s="14" t="s">
        <v>13</v>
      </c>
      <c r="K409" s="14">
        <v>7</v>
      </c>
      <c r="L409" s="14">
        <v>4</v>
      </c>
      <c r="M409" s="15">
        <f t="shared" si="54"/>
        <v>217</v>
      </c>
      <c r="N409" s="15">
        <f t="shared" si="55"/>
        <v>72.333333333333329</v>
      </c>
      <c r="O409" s="14" t="str">
        <f t="shared" si="56"/>
        <v>Good</v>
      </c>
      <c r="P409" s="15">
        <f t="shared" si="57"/>
        <v>24.111111111111111</v>
      </c>
      <c r="Q409" s="14" t="str">
        <f t="shared" si="58"/>
        <v>No</v>
      </c>
      <c r="R409" s="14" t="str">
        <f t="shared" si="59"/>
        <v>Normal Students</v>
      </c>
      <c r="S409" s="14" t="str">
        <f t="shared" si="60"/>
        <v>Unbalanced Student</v>
      </c>
      <c r="T409" s="14" t="str">
        <f t="shared" si="61"/>
        <v>Medium</v>
      </c>
      <c r="U409" s="21" t="str">
        <f t="shared" si="62"/>
        <v>B</v>
      </c>
    </row>
    <row r="410" spans="2:21">
      <c r="B410" s="20">
        <v>407</v>
      </c>
      <c r="C410" s="14" t="s">
        <v>50</v>
      </c>
      <c r="D410" s="14" t="s">
        <v>15</v>
      </c>
      <c r="E410" s="14">
        <v>4</v>
      </c>
      <c r="F410" s="14">
        <v>87</v>
      </c>
      <c r="G410" s="14">
        <v>83</v>
      </c>
      <c r="H410" s="14">
        <v>81</v>
      </c>
      <c r="I410" s="14">
        <v>85</v>
      </c>
      <c r="J410" s="14" t="s">
        <v>13</v>
      </c>
      <c r="K410" s="14">
        <v>6</v>
      </c>
      <c r="L410" s="14">
        <v>3</v>
      </c>
      <c r="M410" s="15">
        <f t="shared" si="54"/>
        <v>249</v>
      </c>
      <c r="N410" s="15">
        <f t="shared" si="55"/>
        <v>83</v>
      </c>
      <c r="O410" s="14" t="str">
        <f t="shared" si="56"/>
        <v>Excellent</v>
      </c>
      <c r="P410" s="15">
        <f t="shared" si="57"/>
        <v>20.75</v>
      </c>
      <c r="Q410" s="14" t="str">
        <f t="shared" si="58"/>
        <v>No</v>
      </c>
      <c r="R410" s="14" t="str">
        <f t="shared" si="59"/>
        <v>Normal Students</v>
      </c>
      <c r="S410" s="14" t="str">
        <f t="shared" si="60"/>
        <v>Balanced Student</v>
      </c>
      <c r="T410" s="14" t="str">
        <f t="shared" si="61"/>
        <v>High</v>
      </c>
      <c r="U410" s="21" t="str">
        <f t="shared" si="62"/>
        <v>A</v>
      </c>
    </row>
    <row r="411" spans="2:21">
      <c r="B411" s="20">
        <v>408</v>
      </c>
      <c r="C411" s="14" t="s">
        <v>165</v>
      </c>
      <c r="D411" s="14" t="s">
        <v>12</v>
      </c>
      <c r="E411" s="14">
        <v>2</v>
      </c>
      <c r="F411" s="14">
        <v>68</v>
      </c>
      <c r="G411" s="14">
        <v>60</v>
      </c>
      <c r="H411" s="14">
        <v>58</v>
      </c>
      <c r="I411" s="14">
        <v>64</v>
      </c>
      <c r="J411" s="14" t="s">
        <v>16</v>
      </c>
      <c r="K411" s="14">
        <v>8</v>
      </c>
      <c r="L411" s="14">
        <v>5</v>
      </c>
      <c r="M411" s="15">
        <f t="shared" si="54"/>
        <v>182</v>
      </c>
      <c r="N411" s="15">
        <f t="shared" si="55"/>
        <v>60.666666666666664</v>
      </c>
      <c r="O411" s="14" t="str">
        <f t="shared" si="56"/>
        <v>Good</v>
      </c>
      <c r="P411" s="15">
        <f t="shared" si="57"/>
        <v>30.333333333333332</v>
      </c>
      <c r="Q411" s="14" t="str">
        <f t="shared" si="58"/>
        <v>No</v>
      </c>
      <c r="R411" s="14" t="str">
        <f t="shared" si="59"/>
        <v>Normal Students</v>
      </c>
      <c r="S411" s="14" t="str">
        <f t="shared" si="60"/>
        <v>Unbalanced Student</v>
      </c>
      <c r="T411" s="14" t="str">
        <f t="shared" si="61"/>
        <v>Medium</v>
      </c>
      <c r="U411" s="21" t="str">
        <f t="shared" si="62"/>
        <v>C</v>
      </c>
    </row>
    <row r="412" spans="2:21">
      <c r="B412" s="20">
        <v>409</v>
      </c>
      <c r="C412" s="14" t="s">
        <v>154</v>
      </c>
      <c r="D412" s="14" t="s">
        <v>15</v>
      </c>
      <c r="E412" s="14">
        <v>5</v>
      </c>
      <c r="F412" s="14">
        <v>91</v>
      </c>
      <c r="G412" s="14">
        <v>87</v>
      </c>
      <c r="H412" s="14">
        <v>88</v>
      </c>
      <c r="I412" s="14">
        <v>90</v>
      </c>
      <c r="J412" s="14" t="s">
        <v>13</v>
      </c>
      <c r="K412" s="14">
        <v>6</v>
      </c>
      <c r="L412" s="14">
        <v>2</v>
      </c>
      <c r="M412" s="15">
        <f t="shared" si="54"/>
        <v>265</v>
      </c>
      <c r="N412" s="15">
        <f t="shared" si="55"/>
        <v>88.333333333333329</v>
      </c>
      <c r="O412" s="14" t="str">
        <f t="shared" si="56"/>
        <v>Excellent</v>
      </c>
      <c r="P412" s="15">
        <f t="shared" si="57"/>
        <v>17.666666666666664</v>
      </c>
      <c r="Q412" s="14" t="str">
        <f t="shared" si="58"/>
        <v>No</v>
      </c>
      <c r="R412" s="14" t="str">
        <f t="shared" si="59"/>
        <v>Normal Students</v>
      </c>
      <c r="S412" s="14" t="str">
        <f t="shared" si="60"/>
        <v>Balanced Student</v>
      </c>
      <c r="T412" s="14" t="str">
        <f t="shared" si="61"/>
        <v>High</v>
      </c>
      <c r="U412" s="21" t="str">
        <f t="shared" si="62"/>
        <v>A</v>
      </c>
    </row>
    <row r="413" spans="2:21">
      <c r="B413" s="20">
        <v>410</v>
      </c>
      <c r="C413" s="14" t="s">
        <v>156</v>
      </c>
      <c r="D413" s="14" t="s">
        <v>12</v>
      </c>
      <c r="E413" s="14">
        <v>6</v>
      </c>
      <c r="F413" s="14">
        <v>94</v>
      </c>
      <c r="G413" s="14">
        <v>91</v>
      </c>
      <c r="H413" s="14">
        <v>90</v>
      </c>
      <c r="I413" s="14">
        <v>92</v>
      </c>
      <c r="J413" s="14" t="s">
        <v>16</v>
      </c>
      <c r="K413" s="14">
        <v>6</v>
      </c>
      <c r="L413" s="14">
        <v>2</v>
      </c>
      <c r="M413" s="15">
        <f t="shared" si="54"/>
        <v>273</v>
      </c>
      <c r="N413" s="15">
        <f t="shared" si="55"/>
        <v>91</v>
      </c>
      <c r="O413" s="14" t="str">
        <f t="shared" si="56"/>
        <v>Excellent</v>
      </c>
      <c r="P413" s="15">
        <f t="shared" si="57"/>
        <v>15.166666666666666</v>
      </c>
      <c r="Q413" s="14" t="str">
        <f t="shared" si="58"/>
        <v>No</v>
      </c>
      <c r="R413" s="14" t="str">
        <f t="shared" si="59"/>
        <v>Normal Students</v>
      </c>
      <c r="S413" s="14" t="str">
        <f t="shared" si="60"/>
        <v>Balanced Student</v>
      </c>
      <c r="T413" s="14" t="str">
        <f t="shared" si="61"/>
        <v>High</v>
      </c>
      <c r="U413" s="21" t="str">
        <f t="shared" si="62"/>
        <v>A</v>
      </c>
    </row>
    <row r="414" spans="2:21">
      <c r="B414" s="20">
        <v>411</v>
      </c>
      <c r="C414" s="14" t="s">
        <v>37</v>
      </c>
      <c r="D414" s="14" t="s">
        <v>12</v>
      </c>
      <c r="E414" s="14">
        <v>3</v>
      </c>
      <c r="F414" s="14">
        <v>80</v>
      </c>
      <c r="G414" s="14">
        <v>75</v>
      </c>
      <c r="H414" s="14">
        <v>73</v>
      </c>
      <c r="I414" s="14">
        <v>78</v>
      </c>
      <c r="J414" s="14" t="s">
        <v>13</v>
      </c>
      <c r="K414" s="14">
        <v>7</v>
      </c>
      <c r="L414" s="14">
        <v>4</v>
      </c>
      <c r="M414" s="15">
        <f t="shared" si="54"/>
        <v>226</v>
      </c>
      <c r="N414" s="15">
        <f t="shared" si="55"/>
        <v>75.333333333333329</v>
      </c>
      <c r="O414" s="14" t="str">
        <f t="shared" si="56"/>
        <v>Good</v>
      </c>
      <c r="P414" s="15">
        <f t="shared" si="57"/>
        <v>25.111111111111111</v>
      </c>
      <c r="Q414" s="14" t="str">
        <f t="shared" si="58"/>
        <v>No</v>
      </c>
      <c r="R414" s="14" t="str">
        <f t="shared" si="59"/>
        <v>Normal Students</v>
      </c>
      <c r="S414" s="14" t="str">
        <f t="shared" si="60"/>
        <v>Unbalanced Student</v>
      </c>
      <c r="T414" s="14" t="str">
        <f t="shared" si="61"/>
        <v>High</v>
      </c>
      <c r="U414" s="21" t="str">
        <f t="shared" si="62"/>
        <v>B</v>
      </c>
    </row>
    <row r="415" spans="2:21">
      <c r="B415" s="20">
        <v>412</v>
      </c>
      <c r="C415" s="14" t="s">
        <v>28</v>
      </c>
      <c r="D415" s="14" t="s">
        <v>15</v>
      </c>
      <c r="E415" s="14">
        <v>4</v>
      </c>
      <c r="F415" s="14">
        <v>85</v>
      </c>
      <c r="G415" s="14">
        <v>80</v>
      </c>
      <c r="H415" s="14">
        <v>82</v>
      </c>
      <c r="I415" s="14">
        <v>84</v>
      </c>
      <c r="J415" s="14" t="s">
        <v>13</v>
      </c>
      <c r="K415" s="14">
        <v>7</v>
      </c>
      <c r="L415" s="14">
        <v>3</v>
      </c>
      <c r="M415" s="15">
        <f t="shared" si="54"/>
        <v>246</v>
      </c>
      <c r="N415" s="15">
        <f t="shared" si="55"/>
        <v>82</v>
      </c>
      <c r="O415" s="14" t="str">
        <f t="shared" si="56"/>
        <v>Excellent</v>
      </c>
      <c r="P415" s="15">
        <f t="shared" si="57"/>
        <v>20.5</v>
      </c>
      <c r="Q415" s="14" t="str">
        <f t="shared" si="58"/>
        <v>No</v>
      </c>
      <c r="R415" s="14" t="str">
        <f t="shared" si="59"/>
        <v>Normal Students</v>
      </c>
      <c r="S415" s="14" t="str">
        <f t="shared" si="60"/>
        <v>Balanced Student</v>
      </c>
      <c r="T415" s="14" t="str">
        <f t="shared" si="61"/>
        <v>High</v>
      </c>
      <c r="U415" s="21" t="str">
        <f t="shared" si="62"/>
        <v>A</v>
      </c>
    </row>
    <row r="416" spans="2:21">
      <c r="B416" s="20">
        <v>413</v>
      </c>
      <c r="C416" s="14" t="s">
        <v>39</v>
      </c>
      <c r="D416" s="14" t="s">
        <v>12</v>
      </c>
      <c r="E416" s="14">
        <v>2</v>
      </c>
      <c r="F416" s="14">
        <v>70</v>
      </c>
      <c r="G416" s="14">
        <v>62</v>
      </c>
      <c r="H416" s="14">
        <v>60</v>
      </c>
      <c r="I416" s="14">
        <v>66</v>
      </c>
      <c r="J416" s="14" t="s">
        <v>16</v>
      </c>
      <c r="K416" s="14">
        <v>8</v>
      </c>
      <c r="L416" s="14">
        <v>5</v>
      </c>
      <c r="M416" s="15">
        <f t="shared" si="54"/>
        <v>188</v>
      </c>
      <c r="N416" s="15">
        <f t="shared" si="55"/>
        <v>62.666666666666664</v>
      </c>
      <c r="O416" s="14" t="str">
        <f t="shared" si="56"/>
        <v>Good</v>
      </c>
      <c r="P416" s="15">
        <f t="shared" si="57"/>
        <v>31.333333333333332</v>
      </c>
      <c r="Q416" s="14" t="str">
        <f t="shared" si="58"/>
        <v>No</v>
      </c>
      <c r="R416" s="14" t="str">
        <f t="shared" si="59"/>
        <v>Normal Students</v>
      </c>
      <c r="S416" s="14" t="str">
        <f t="shared" si="60"/>
        <v>Unbalanced Student</v>
      </c>
      <c r="T416" s="14" t="str">
        <f t="shared" si="61"/>
        <v>Medium</v>
      </c>
      <c r="U416" s="21" t="str">
        <f t="shared" si="62"/>
        <v>C</v>
      </c>
    </row>
    <row r="417" spans="2:21">
      <c r="B417" s="20">
        <v>414</v>
      </c>
      <c r="C417" s="14" t="s">
        <v>56</v>
      </c>
      <c r="D417" s="14" t="s">
        <v>15</v>
      </c>
      <c r="E417" s="14">
        <v>5</v>
      </c>
      <c r="F417" s="14">
        <v>92</v>
      </c>
      <c r="G417" s="14">
        <v>88</v>
      </c>
      <c r="H417" s="14">
        <v>90</v>
      </c>
      <c r="I417" s="14">
        <v>91</v>
      </c>
      <c r="J417" s="14" t="s">
        <v>13</v>
      </c>
      <c r="K417" s="14">
        <v>6</v>
      </c>
      <c r="L417" s="14">
        <v>2</v>
      </c>
      <c r="M417" s="15">
        <f t="shared" si="54"/>
        <v>269</v>
      </c>
      <c r="N417" s="15">
        <f t="shared" si="55"/>
        <v>89.666666666666671</v>
      </c>
      <c r="O417" s="14" t="str">
        <f t="shared" si="56"/>
        <v>Excellent</v>
      </c>
      <c r="P417" s="15">
        <f t="shared" si="57"/>
        <v>17.933333333333334</v>
      </c>
      <c r="Q417" s="14" t="str">
        <f t="shared" si="58"/>
        <v>No</v>
      </c>
      <c r="R417" s="14" t="str">
        <f t="shared" si="59"/>
        <v>Normal Students</v>
      </c>
      <c r="S417" s="14" t="str">
        <f t="shared" si="60"/>
        <v>Balanced Student</v>
      </c>
      <c r="T417" s="14" t="str">
        <f t="shared" si="61"/>
        <v>High</v>
      </c>
      <c r="U417" s="21" t="str">
        <f t="shared" si="62"/>
        <v>A</v>
      </c>
    </row>
    <row r="418" spans="2:21">
      <c r="B418" s="20">
        <v>415</v>
      </c>
      <c r="C418" s="14" t="s">
        <v>53</v>
      </c>
      <c r="D418" s="14" t="s">
        <v>12</v>
      </c>
      <c r="E418" s="14">
        <v>1</v>
      </c>
      <c r="F418" s="14">
        <v>62</v>
      </c>
      <c r="G418" s="14">
        <v>52</v>
      </c>
      <c r="H418" s="14">
        <v>50</v>
      </c>
      <c r="I418" s="14">
        <v>57</v>
      </c>
      <c r="J418" s="14" t="s">
        <v>16</v>
      </c>
      <c r="K418" s="14">
        <v>8</v>
      </c>
      <c r="L418" s="14">
        <v>6</v>
      </c>
      <c r="M418" s="15">
        <f t="shared" si="54"/>
        <v>159</v>
      </c>
      <c r="N418" s="15">
        <f t="shared" si="55"/>
        <v>53</v>
      </c>
      <c r="O418" s="14" t="str">
        <f t="shared" si="56"/>
        <v>Needs Improvement</v>
      </c>
      <c r="P418" s="15">
        <f t="shared" si="57"/>
        <v>53</v>
      </c>
      <c r="Q418" s="14" t="str">
        <f t="shared" si="58"/>
        <v>Yes</v>
      </c>
      <c r="R418" s="14" t="str">
        <f t="shared" si="59"/>
        <v>Normal Students</v>
      </c>
      <c r="S418" s="14" t="str">
        <f t="shared" si="60"/>
        <v>Unbalanced Student</v>
      </c>
      <c r="T418" s="14" t="str">
        <f t="shared" si="61"/>
        <v>Medium</v>
      </c>
      <c r="U418" s="21" t="str">
        <f t="shared" si="62"/>
        <v>D</v>
      </c>
    </row>
    <row r="419" spans="2:21">
      <c r="B419" s="20">
        <v>416</v>
      </c>
      <c r="C419" s="14" t="s">
        <v>117</v>
      </c>
      <c r="D419" s="14" t="s">
        <v>15</v>
      </c>
      <c r="E419" s="14">
        <v>4</v>
      </c>
      <c r="F419" s="14">
        <v>87</v>
      </c>
      <c r="G419" s="14">
        <v>83</v>
      </c>
      <c r="H419" s="14">
        <v>81</v>
      </c>
      <c r="I419" s="14">
        <v>85</v>
      </c>
      <c r="J419" s="14" t="s">
        <v>13</v>
      </c>
      <c r="K419" s="14">
        <v>6</v>
      </c>
      <c r="L419" s="14">
        <v>3</v>
      </c>
      <c r="M419" s="15">
        <f t="shared" si="54"/>
        <v>249</v>
      </c>
      <c r="N419" s="15">
        <f t="shared" si="55"/>
        <v>83</v>
      </c>
      <c r="O419" s="14" t="str">
        <f t="shared" si="56"/>
        <v>Excellent</v>
      </c>
      <c r="P419" s="15">
        <f t="shared" si="57"/>
        <v>20.75</v>
      </c>
      <c r="Q419" s="14" t="str">
        <f t="shared" si="58"/>
        <v>No</v>
      </c>
      <c r="R419" s="14" t="str">
        <f t="shared" si="59"/>
        <v>Normal Students</v>
      </c>
      <c r="S419" s="14" t="str">
        <f t="shared" si="60"/>
        <v>Balanced Student</v>
      </c>
      <c r="T419" s="14" t="str">
        <f t="shared" si="61"/>
        <v>High</v>
      </c>
      <c r="U419" s="21" t="str">
        <f t="shared" si="62"/>
        <v>A</v>
      </c>
    </row>
    <row r="420" spans="2:21">
      <c r="B420" s="20">
        <v>417</v>
      </c>
      <c r="C420" s="14" t="s">
        <v>33</v>
      </c>
      <c r="D420" s="14" t="s">
        <v>12</v>
      </c>
      <c r="E420" s="14">
        <v>3</v>
      </c>
      <c r="F420" s="14">
        <v>82</v>
      </c>
      <c r="G420" s="14">
        <v>76</v>
      </c>
      <c r="H420" s="14">
        <v>75</v>
      </c>
      <c r="I420" s="14">
        <v>80</v>
      </c>
      <c r="J420" s="14" t="s">
        <v>16</v>
      </c>
      <c r="K420" s="14">
        <v>7</v>
      </c>
      <c r="L420" s="14">
        <v>4</v>
      </c>
      <c r="M420" s="15">
        <f t="shared" si="54"/>
        <v>231</v>
      </c>
      <c r="N420" s="15">
        <f t="shared" si="55"/>
        <v>77</v>
      </c>
      <c r="O420" s="14" t="str">
        <f t="shared" si="56"/>
        <v>Good</v>
      </c>
      <c r="P420" s="15">
        <f t="shared" si="57"/>
        <v>25.666666666666668</v>
      </c>
      <c r="Q420" s="14" t="str">
        <f t="shared" si="58"/>
        <v>No</v>
      </c>
      <c r="R420" s="14" t="str">
        <f t="shared" si="59"/>
        <v>Normal Students</v>
      </c>
      <c r="S420" s="14" t="str">
        <f t="shared" si="60"/>
        <v>Unbalanced Student</v>
      </c>
      <c r="T420" s="14" t="str">
        <f t="shared" si="61"/>
        <v>High</v>
      </c>
      <c r="U420" s="21" t="str">
        <f t="shared" si="62"/>
        <v>B</v>
      </c>
    </row>
    <row r="421" spans="2:21">
      <c r="B421" s="20">
        <v>418</v>
      </c>
      <c r="C421" s="14" t="s">
        <v>52</v>
      </c>
      <c r="D421" s="14" t="s">
        <v>15</v>
      </c>
      <c r="E421" s="14">
        <v>4</v>
      </c>
      <c r="F421" s="14">
        <v>85</v>
      </c>
      <c r="G421" s="14">
        <v>80</v>
      </c>
      <c r="H421" s="14">
        <v>82</v>
      </c>
      <c r="I421" s="14">
        <v>84</v>
      </c>
      <c r="J421" s="14" t="s">
        <v>13</v>
      </c>
      <c r="K421" s="14">
        <v>7</v>
      </c>
      <c r="L421" s="14">
        <v>3</v>
      </c>
      <c r="M421" s="15">
        <f t="shared" si="54"/>
        <v>246</v>
      </c>
      <c r="N421" s="15">
        <f t="shared" si="55"/>
        <v>82</v>
      </c>
      <c r="O421" s="14" t="str">
        <f t="shared" si="56"/>
        <v>Excellent</v>
      </c>
      <c r="P421" s="15">
        <f t="shared" si="57"/>
        <v>20.5</v>
      </c>
      <c r="Q421" s="14" t="str">
        <f t="shared" si="58"/>
        <v>No</v>
      </c>
      <c r="R421" s="14" t="str">
        <f t="shared" si="59"/>
        <v>Normal Students</v>
      </c>
      <c r="S421" s="14" t="str">
        <f t="shared" si="60"/>
        <v>Balanced Student</v>
      </c>
      <c r="T421" s="14" t="str">
        <f t="shared" si="61"/>
        <v>High</v>
      </c>
      <c r="U421" s="21" t="str">
        <f t="shared" si="62"/>
        <v>A</v>
      </c>
    </row>
    <row r="422" spans="2:21">
      <c r="B422" s="20">
        <v>419</v>
      </c>
      <c r="C422" s="14" t="s">
        <v>47</v>
      </c>
      <c r="D422" s="14" t="s">
        <v>12</v>
      </c>
      <c r="E422" s="14">
        <v>6</v>
      </c>
      <c r="F422" s="14">
        <v>94</v>
      </c>
      <c r="G422" s="14">
        <v>91</v>
      </c>
      <c r="H422" s="14">
        <v>90</v>
      </c>
      <c r="I422" s="14">
        <v>92</v>
      </c>
      <c r="J422" s="14" t="s">
        <v>16</v>
      </c>
      <c r="K422" s="14">
        <v>6</v>
      </c>
      <c r="L422" s="14">
        <v>2</v>
      </c>
      <c r="M422" s="15">
        <f t="shared" si="54"/>
        <v>273</v>
      </c>
      <c r="N422" s="15">
        <f t="shared" si="55"/>
        <v>91</v>
      </c>
      <c r="O422" s="14" t="str">
        <f t="shared" si="56"/>
        <v>Excellent</v>
      </c>
      <c r="P422" s="15">
        <f t="shared" si="57"/>
        <v>15.166666666666666</v>
      </c>
      <c r="Q422" s="14" t="str">
        <f t="shared" si="58"/>
        <v>No</v>
      </c>
      <c r="R422" s="14" t="str">
        <f t="shared" si="59"/>
        <v>Normal Students</v>
      </c>
      <c r="S422" s="14" t="str">
        <f t="shared" si="60"/>
        <v>Balanced Student</v>
      </c>
      <c r="T422" s="14" t="str">
        <f t="shared" si="61"/>
        <v>High</v>
      </c>
      <c r="U422" s="21" t="str">
        <f t="shared" si="62"/>
        <v>A</v>
      </c>
    </row>
    <row r="423" spans="2:21">
      <c r="B423" s="20">
        <v>420</v>
      </c>
      <c r="C423" s="14" t="s">
        <v>93</v>
      </c>
      <c r="D423" s="14" t="s">
        <v>15</v>
      </c>
      <c r="E423" s="14">
        <v>3</v>
      </c>
      <c r="F423" s="14">
        <v>79</v>
      </c>
      <c r="G423" s="14">
        <v>74</v>
      </c>
      <c r="H423" s="14">
        <v>72</v>
      </c>
      <c r="I423" s="14">
        <v>76</v>
      </c>
      <c r="J423" s="14" t="s">
        <v>13</v>
      </c>
      <c r="K423" s="14">
        <v>7</v>
      </c>
      <c r="L423" s="14">
        <v>4</v>
      </c>
      <c r="M423" s="15">
        <f t="shared" si="54"/>
        <v>222</v>
      </c>
      <c r="N423" s="15">
        <f t="shared" si="55"/>
        <v>74</v>
      </c>
      <c r="O423" s="14" t="str">
        <f t="shared" si="56"/>
        <v>Good</v>
      </c>
      <c r="P423" s="15">
        <f t="shared" si="57"/>
        <v>24.666666666666668</v>
      </c>
      <c r="Q423" s="14" t="str">
        <f t="shared" si="58"/>
        <v>No</v>
      </c>
      <c r="R423" s="14" t="str">
        <f t="shared" si="59"/>
        <v>Normal Students</v>
      </c>
      <c r="S423" s="14" t="str">
        <f t="shared" si="60"/>
        <v>Unbalanced Student</v>
      </c>
      <c r="T423" s="14" t="str">
        <f t="shared" si="61"/>
        <v>Medium</v>
      </c>
      <c r="U423" s="21" t="str">
        <f t="shared" si="62"/>
        <v>B</v>
      </c>
    </row>
    <row r="424" spans="2:21">
      <c r="B424" s="20">
        <v>421</v>
      </c>
      <c r="C424" s="14" t="s">
        <v>35</v>
      </c>
      <c r="D424" s="14" t="s">
        <v>12</v>
      </c>
      <c r="E424" s="14">
        <v>2</v>
      </c>
      <c r="F424" s="14">
        <v>70</v>
      </c>
      <c r="G424" s="14">
        <v>62</v>
      </c>
      <c r="H424" s="14">
        <v>60</v>
      </c>
      <c r="I424" s="14">
        <v>66</v>
      </c>
      <c r="J424" s="14" t="s">
        <v>16</v>
      </c>
      <c r="K424" s="14">
        <v>8</v>
      </c>
      <c r="L424" s="14">
        <v>5</v>
      </c>
      <c r="M424" s="15">
        <f t="shared" si="54"/>
        <v>188</v>
      </c>
      <c r="N424" s="15">
        <f t="shared" si="55"/>
        <v>62.666666666666664</v>
      </c>
      <c r="O424" s="14" t="str">
        <f t="shared" si="56"/>
        <v>Good</v>
      </c>
      <c r="P424" s="15">
        <f t="shared" si="57"/>
        <v>31.333333333333332</v>
      </c>
      <c r="Q424" s="14" t="str">
        <f t="shared" si="58"/>
        <v>No</v>
      </c>
      <c r="R424" s="14" t="str">
        <f t="shared" si="59"/>
        <v>Normal Students</v>
      </c>
      <c r="S424" s="14" t="str">
        <f t="shared" si="60"/>
        <v>Unbalanced Student</v>
      </c>
      <c r="T424" s="14" t="str">
        <f t="shared" si="61"/>
        <v>Medium</v>
      </c>
      <c r="U424" s="21" t="str">
        <f t="shared" si="62"/>
        <v>C</v>
      </c>
    </row>
    <row r="425" spans="2:21">
      <c r="B425" s="20">
        <v>422</v>
      </c>
      <c r="C425" s="14" t="s">
        <v>26</v>
      </c>
      <c r="D425" s="14" t="s">
        <v>15</v>
      </c>
      <c r="E425" s="14">
        <v>5</v>
      </c>
      <c r="F425" s="14">
        <v>90</v>
      </c>
      <c r="G425" s="14">
        <v>86</v>
      </c>
      <c r="H425" s="14">
        <v>88</v>
      </c>
      <c r="I425" s="14">
        <v>89</v>
      </c>
      <c r="J425" s="14" t="s">
        <v>13</v>
      </c>
      <c r="K425" s="14">
        <v>6</v>
      </c>
      <c r="L425" s="14">
        <v>2</v>
      </c>
      <c r="M425" s="15">
        <f t="shared" si="54"/>
        <v>263</v>
      </c>
      <c r="N425" s="15">
        <f t="shared" si="55"/>
        <v>87.666666666666671</v>
      </c>
      <c r="O425" s="14" t="str">
        <f t="shared" si="56"/>
        <v>Excellent</v>
      </c>
      <c r="P425" s="15">
        <f t="shared" si="57"/>
        <v>17.533333333333335</v>
      </c>
      <c r="Q425" s="14" t="str">
        <f t="shared" si="58"/>
        <v>No</v>
      </c>
      <c r="R425" s="14" t="str">
        <f t="shared" si="59"/>
        <v>Normal Students</v>
      </c>
      <c r="S425" s="14" t="str">
        <f t="shared" si="60"/>
        <v>Balanced Student</v>
      </c>
      <c r="T425" s="14" t="str">
        <f t="shared" si="61"/>
        <v>High</v>
      </c>
      <c r="U425" s="21" t="str">
        <f t="shared" si="62"/>
        <v>A</v>
      </c>
    </row>
    <row r="426" spans="2:21">
      <c r="B426" s="20">
        <v>423</v>
      </c>
      <c r="C426" s="14" t="s">
        <v>27</v>
      </c>
      <c r="D426" s="14" t="s">
        <v>12</v>
      </c>
      <c r="E426" s="14">
        <v>3</v>
      </c>
      <c r="F426" s="14">
        <v>80</v>
      </c>
      <c r="G426" s="14">
        <v>75</v>
      </c>
      <c r="H426" s="14">
        <v>73</v>
      </c>
      <c r="I426" s="14">
        <v>78</v>
      </c>
      <c r="J426" s="14" t="s">
        <v>13</v>
      </c>
      <c r="K426" s="14">
        <v>7</v>
      </c>
      <c r="L426" s="14">
        <v>4</v>
      </c>
      <c r="M426" s="15">
        <f t="shared" si="54"/>
        <v>226</v>
      </c>
      <c r="N426" s="15">
        <f t="shared" si="55"/>
        <v>75.333333333333329</v>
      </c>
      <c r="O426" s="14" t="str">
        <f t="shared" si="56"/>
        <v>Good</v>
      </c>
      <c r="P426" s="15">
        <f t="shared" si="57"/>
        <v>25.111111111111111</v>
      </c>
      <c r="Q426" s="14" t="str">
        <f t="shared" si="58"/>
        <v>No</v>
      </c>
      <c r="R426" s="14" t="str">
        <f t="shared" si="59"/>
        <v>Normal Students</v>
      </c>
      <c r="S426" s="14" t="str">
        <f t="shared" si="60"/>
        <v>Unbalanced Student</v>
      </c>
      <c r="T426" s="14" t="str">
        <f t="shared" si="61"/>
        <v>High</v>
      </c>
      <c r="U426" s="21" t="str">
        <f t="shared" si="62"/>
        <v>B</v>
      </c>
    </row>
    <row r="427" spans="2:21">
      <c r="B427" s="20">
        <v>424</v>
      </c>
      <c r="C427" s="14" t="s">
        <v>64</v>
      </c>
      <c r="D427" s="14" t="s">
        <v>15</v>
      </c>
      <c r="E427" s="14">
        <v>4</v>
      </c>
      <c r="F427" s="14">
        <v>87</v>
      </c>
      <c r="G427" s="14">
        <v>83</v>
      </c>
      <c r="H427" s="14">
        <v>81</v>
      </c>
      <c r="I427" s="14">
        <v>85</v>
      </c>
      <c r="J427" s="14" t="s">
        <v>13</v>
      </c>
      <c r="K427" s="14">
        <v>6</v>
      </c>
      <c r="L427" s="14">
        <v>3</v>
      </c>
      <c r="M427" s="15">
        <f t="shared" si="54"/>
        <v>249</v>
      </c>
      <c r="N427" s="15">
        <f t="shared" si="55"/>
        <v>83</v>
      </c>
      <c r="O427" s="14" t="str">
        <f t="shared" si="56"/>
        <v>Excellent</v>
      </c>
      <c r="P427" s="15">
        <f t="shared" si="57"/>
        <v>20.75</v>
      </c>
      <c r="Q427" s="14" t="str">
        <f t="shared" si="58"/>
        <v>No</v>
      </c>
      <c r="R427" s="14" t="str">
        <f t="shared" si="59"/>
        <v>Normal Students</v>
      </c>
      <c r="S427" s="14" t="str">
        <f t="shared" si="60"/>
        <v>Balanced Student</v>
      </c>
      <c r="T427" s="14" t="str">
        <f t="shared" si="61"/>
        <v>High</v>
      </c>
      <c r="U427" s="21" t="str">
        <f t="shared" si="62"/>
        <v>A</v>
      </c>
    </row>
    <row r="428" spans="2:21">
      <c r="B428" s="20">
        <v>425</v>
      </c>
      <c r="C428" s="14" t="s">
        <v>29</v>
      </c>
      <c r="D428" s="14" t="s">
        <v>12</v>
      </c>
      <c r="E428" s="14">
        <v>2</v>
      </c>
      <c r="F428" s="14">
        <v>68</v>
      </c>
      <c r="G428" s="14">
        <v>60</v>
      </c>
      <c r="H428" s="14">
        <v>58</v>
      </c>
      <c r="I428" s="14">
        <v>64</v>
      </c>
      <c r="J428" s="14" t="s">
        <v>16</v>
      </c>
      <c r="K428" s="14">
        <v>8</v>
      </c>
      <c r="L428" s="14">
        <v>5</v>
      </c>
      <c r="M428" s="15">
        <f t="shared" si="54"/>
        <v>182</v>
      </c>
      <c r="N428" s="15">
        <f t="shared" si="55"/>
        <v>60.666666666666664</v>
      </c>
      <c r="O428" s="14" t="str">
        <f t="shared" si="56"/>
        <v>Good</v>
      </c>
      <c r="P428" s="15">
        <f t="shared" si="57"/>
        <v>30.333333333333332</v>
      </c>
      <c r="Q428" s="14" t="str">
        <f t="shared" si="58"/>
        <v>No</v>
      </c>
      <c r="R428" s="14" t="str">
        <f t="shared" si="59"/>
        <v>Normal Students</v>
      </c>
      <c r="S428" s="14" t="str">
        <f t="shared" si="60"/>
        <v>Unbalanced Student</v>
      </c>
      <c r="T428" s="14" t="str">
        <f t="shared" si="61"/>
        <v>Medium</v>
      </c>
      <c r="U428" s="21" t="str">
        <f t="shared" si="62"/>
        <v>C</v>
      </c>
    </row>
    <row r="429" spans="2:21">
      <c r="B429" s="20">
        <v>426</v>
      </c>
      <c r="C429" s="14" t="s">
        <v>62</v>
      </c>
      <c r="D429" s="14" t="s">
        <v>15</v>
      </c>
      <c r="E429" s="14">
        <v>5</v>
      </c>
      <c r="F429" s="14">
        <v>92</v>
      </c>
      <c r="G429" s="14">
        <v>88</v>
      </c>
      <c r="H429" s="14">
        <v>90</v>
      </c>
      <c r="I429" s="14">
        <v>91</v>
      </c>
      <c r="J429" s="14" t="s">
        <v>13</v>
      </c>
      <c r="K429" s="14">
        <v>6</v>
      </c>
      <c r="L429" s="14">
        <v>2</v>
      </c>
      <c r="M429" s="15">
        <f t="shared" si="54"/>
        <v>269</v>
      </c>
      <c r="N429" s="15">
        <f t="shared" si="55"/>
        <v>89.666666666666671</v>
      </c>
      <c r="O429" s="14" t="str">
        <f t="shared" si="56"/>
        <v>Excellent</v>
      </c>
      <c r="P429" s="15">
        <f t="shared" si="57"/>
        <v>17.933333333333334</v>
      </c>
      <c r="Q429" s="14" t="str">
        <f t="shared" si="58"/>
        <v>No</v>
      </c>
      <c r="R429" s="14" t="str">
        <f t="shared" si="59"/>
        <v>Normal Students</v>
      </c>
      <c r="S429" s="14" t="str">
        <f t="shared" si="60"/>
        <v>Balanced Student</v>
      </c>
      <c r="T429" s="14" t="str">
        <f t="shared" si="61"/>
        <v>High</v>
      </c>
      <c r="U429" s="21" t="str">
        <f t="shared" si="62"/>
        <v>A</v>
      </c>
    </row>
    <row r="430" spans="2:21">
      <c r="B430" s="20">
        <v>427</v>
      </c>
      <c r="C430" s="14" t="s">
        <v>49</v>
      </c>
      <c r="D430" s="14" t="s">
        <v>12</v>
      </c>
      <c r="E430" s="14">
        <v>3</v>
      </c>
      <c r="F430" s="14">
        <v>78</v>
      </c>
      <c r="G430" s="14">
        <v>72</v>
      </c>
      <c r="H430" s="14">
        <v>70</v>
      </c>
      <c r="I430" s="14">
        <v>75</v>
      </c>
      <c r="J430" s="14" t="s">
        <v>13</v>
      </c>
      <c r="K430" s="14">
        <v>7</v>
      </c>
      <c r="L430" s="14">
        <v>4</v>
      </c>
      <c r="M430" s="15">
        <f t="shared" si="54"/>
        <v>217</v>
      </c>
      <c r="N430" s="15">
        <f t="shared" si="55"/>
        <v>72.333333333333329</v>
      </c>
      <c r="O430" s="14" t="str">
        <f t="shared" si="56"/>
        <v>Good</v>
      </c>
      <c r="P430" s="15">
        <f t="shared" si="57"/>
        <v>24.111111111111111</v>
      </c>
      <c r="Q430" s="14" t="str">
        <f t="shared" si="58"/>
        <v>No</v>
      </c>
      <c r="R430" s="14" t="str">
        <f t="shared" si="59"/>
        <v>Normal Students</v>
      </c>
      <c r="S430" s="14" t="str">
        <f t="shared" si="60"/>
        <v>Unbalanced Student</v>
      </c>
      <c r="T430" s="14" t="str">
        <f t="shared" si="61"/>
        <v>Medium</v>
      </c>
      <c r="U430" s="21" t="str">
        <f t="shared" si="62"/>
        <v>B</v>
      </c>
    </row>
    <row r="431" spans="2:21">
      <c r="B431" s="20">
        <v>428</v>
      </c>
      <c r="C431" s="14" t="s">
        <v>38</v>
      </c>
      <c r="D431" s="14" t="s">
        <v>15</v>
      </c>
      <c r="E431" s="14">
        <v>4</v>
      </c>
      <c r="F431" s="14">
        <v>85</v>
      </c>
      <c r="G431" s="14">
        <v>80</v>
      </c>
      <c r="H431" s="14">
        <v>82</v>
      </c>
      <c r="I431" s="14">
        <v>84</v>
      </c>
      <c r="J431" s="14" t="s">
        <v>13</v>
      </c>
      <c r="K431" s="14">
        <v>7</v>
      </c>
      <c r="L431" s="14">
        <v>3</v>
      </c>
      <c r="M431" s="15">
        <f t="shared" si="54"/>
        <v>246</v>
      </c>
      <c r="N431" s="15">
        <f t="shared" si="55"/>
        <v>82</v>
      </c>
      <c r="O431" s="14" t="str">
        <f t="shared" si="56"/>
        <v>Excellent</v>
      </c>
      <c r="P431" s="15">
        <f t="shared" si="57"/>
        <v>20.5</v>
      </c>
      <c r="Q431" s="14" t="str">
        <f t="shared" si="58"/>
        <v>No</v>
      </c>
      <c r="R431" s="14" t="str">
        <f t="shared" si="59"/>
        <v>Normal Students</v>
      </c>
      <c r="S431" s="14" t="str">
        <f t="shared" si="60"/>
        <v>Balanced Student</v>
      </c>
      <c r="T431" s="14" t="str">
        <f t="shared" si="61"/>
        <v>High</v>
      </c>
      <c r="U431" s="21" t="str">
        <f t="shared" si="62"/>
        <v>A</v>
      </c>
    </row>
    <row r="432" spans="2:21">
      <c r="B432" s="20">
        <v>429</v>
      </c>
      <c r="C432" s="14" t="s">
        <v>164</v>
      </c>
      <c r="D432" s="14" t="s">
        <v>12</v>
      </c>
      <c r="E432" s="14">
        <v>6</v>
      </c>
      <c r="F432" s="14">
        <v>94</v>
      </c>
      <c r="G432" s="14">
        <v>91</v>
      </c>
      <c r="H432" s="14">
        <v>90</v>
      </c>
      <c r="I432" s="14">
        <v>92</v>
      </c>
      <c r="J432" s="14" t="s">
        <v>16</v>
      </c>
      <c r="K432" s="14">
        <v>6</v>
      </c>
      <c r="L432" s="14">
        <v>2</v>
      </c>
      <c r="M432" s="15">
        <f t="shared" si="54"/>
        <v>273</v>
      </c>
      <c r="N432" s="15">
        <f t="shared" si="55"/>
        <v>91</v>
      </c>
      <c r="O432" s="14" t="str">
        <f t="shared" si="56"/>
        <v>Excellent</v>
      </c>
      <c r="P432" s="15">
        <f t="shared" si="57"/>
        <v>15.166666666666666</v>
      </c>
      <c r="Q432" s="14" t="str">
        <f t="shared" si="58"/>
        <v>No</v>
      </c>
      <c r="R432" s="14" t="str">
        <f t="shared" si="59"/>
        <v>Normal Students</v>
      </c>
      <c r="S432" s="14" t="str">
        <f t="shared" si="60"/>
        <v>Balanced Student</v>
      </c>
      <c r="T432" s="14" t="str">
        <f t="shared" si="61"/>
        <v>High</v>
      </c>
      <c r="U432" s="21" t="str">
        <f t="shared" si="62"/>
        <v>A</v>
      </c>
    </row>
    <row r="433" spans="2:21">
      <c r="B433" s="20">
        <v>430</v>
      </c>
      <c r="C433" s="14" t="s">
        <v>36</v>
      </c>
      <c r="D433" s="14" t="s">
        <v>15</v>
      </c>
      <c r="E433" s="14">
        <v>3</v>
      </c>
      <c r="F433" s="14">
        <v>79</v>
      </c>
      <c r="G433" s="14">
        <v>74</v>
      </c>
      <c r="H433" s="14">
        <v>72</v>
      </c>
      <c r="I433" s="14">
        <v>76</v>
      </c>
      <c r="J433" s="14" t="s">
        <v>13</v>
      </c>
      <c r="K433" s="14">
        <v>7</v>
      </c>
      <c r="L433" s="14">
        <v>4</v>
      </c>
      <c r="M433" s="15">
        <f t="shared" si="54"/>
        <v>222</v>
      </c>
      <c r="N433" s="15">
        <f t="shared" si="55"/>
        <v>74</v>
      </c>
      <c r="O433" s="14" t="str">
        <f t="shared" si="56"/>
        <v>Good</v>
      </c>
      <c r="P433" s="15">
        <f t="shared" si="57"/>
        <v>24.666666666666668</v>
      </c>
      <c r="Q433" s="14" t="str">
        <f t="shared" si="58"/>
        <v>No</v>
      </c>
      <c r="R433" s="14" t="str">
        <f t="shared" si="59"/>
        <v>Normal Students</v>
      </c>
      <c r="S433" s="14" t="str">
        <f t="shared" si="60"/>
        <v>Unbalanced Student</v>
      </c>
      <c r="T433" s="14" t="str">
        <f t="shared" si="61"/>
        <v>Medium</v>
      </c>
      <c r="U433" s="21" t="str">
        <f t="shared" si="62"/>
        <v>B</v>
      </c>
    </row>
    <row r="434" spans="2:21">
      <c r="B434" s="20">
        <v>431</v>
      </c>
      <c r="C434" s="14" t="s">
        <v>23</v>
      </c>
      <c r="D434" s="14" t="s">
        <v>12</v>
      </c>
      <c r="E434" s="14">
        <v>2</v>
      </c>
      <c r="F434" s="14">
        <v>70</v>
      </c>
      <c r="G434" s="14">
        <v>62</v>
      </c>
      <c r="H434" s="14">
        <v>60</v>
      </c>
      <c r="I434" s="14">
        <v>66</v>
      </c>
      <c r="J434" s="14" t="s">
        <v>16</v>
      </c>
      <c r="K434" s="14">
        <v>8</v>
      </c>
      <c r="L434" s="14">
        <v>5</v>
      </c>
      <c r="M434" s="15">
        <f t="shared" si="54"/>
        <v>188</v>
      </c>
      <c r="N434" s="15">
        <f t="shared" si="55"/>
        <v>62.666666666666664</v>
      </c>
      <c r="O434" s="14" t="str">
        <f t="shared" si="56"/>
        <v>Good</v>
      </c>
      <c r="P434" s="15">
        <f t="shared" si="57"/>
        <v>31.333333333333332</v>
      </c>
      <c r="Q434" s="14" t="str">
        <f t="shared" si="58"/>
        <v>No</v>
      </c>
      <c r="R434" s="14" t="str">
        <f t="shared" si="59"/>
        <v>Normal Students</v>
      </c>
      <c r="S434" s="14" t="str">
        <f t="shared" si="60"/>
        <v>Unbalanced Student</v>
      </c>
      <c r="T434" s="14" t="str">
        <f t="shared" si="61"/>
        <v>Medium</v>
      </c>
      <c r="U434" s="21" t="str">
        <f t="shared" si="62"/>
        <v>C</v>
      </c>
    </row>
    <row r="435" spans="2:21">
      <c r="B435" s="20">
        <v>432</v>
      </c>
      <c r="C435" s="14" t="s">
        <v>58</v>
      </c>
      <c r="D435" s="14" t="s">
        <v>15</v>
      </c>
      <c r="E435" s="14">
        <v>5</v>
      </c>
      <c r="F435" s="14">
        <v>90</v>
      </c>
      <c r="G435" s="14">
        <v>86</v>
      </c>
      <c r="H435" s="14">
        <v>88</v>
      </c>
      <c r="I435" s="14">
        <v>89</v>
      </c>
      <c r="J435" s="14" t="s">
        <v>13</v>
      </c>
      <c r="K435" s="14">
        <v>6</v>
      </c>
      <c r="L435" s="14">
        <v>2</v>
      </c>
      <c r="M435" s="15">
        <f t="shared" si="54"/>
        <v>263</v>
      </c>
      <c r="N435" s="15">
        <f t="shared" si="55"/>
        <v>87.666666666666671</v>
      </c>
      <c r="O435" s="14" t="str">
        <f t="shared" si="56"/>
        <v>Excellent</v>
      </c>
      <c r="P435" s="15">
        <f t="shared" si="57"/>
        <v>17.533333333333335</v>
      </c>
      <c r="Q435" s="14" t="str">
        <f t="shared" si="58"/>
        <v>No</v>
      </c>
      <c r="R435" s="14" t="str">
        <f t="shared" si="59"/>
        <v>Normal Students</v>
      </c>
      <c r="S435" s="14" t="str">
        <f t="shared" si="60"/>
        <v>Balanced Student</v>
      </c>
      <c r="T435" s="14" t="str">
        <f t="shared" si="61"/>
        <v>High</v>
      </c>
      <c r="U435" s="21" t="str">
        <f t="shared" si="62"/>
        <v>A</v>
      </c>
    </row>
    <row r="436" spans="2:21">
      <c r="B436" s="20">
        <v>433</v>
      </c>
      <c r="C436" s="14" t="s">
        <v>59</v>
      </c>
      <c r="D436" s="14" t="s">
        <v>12</v>
      </c>
      <c r="E436" s="14">
        <v>3</v>
      </c>
      <c r="F436" s="14">
        <v>82</v>
      </c>
      <c r="G436" s="14">
        <v>76</v>
      </c>
      <c r="H436" s="14">
        <v>75</v>
      </c>
      <c r="I436" s="14">
        <v>80</v>
      </c>
      <c r="J436" s="14" t="s">
        <v>16</v>
      </c>
      <c r="K436" s="14">
        <v>7</v>
      </c>
      <c r="L436" s="14">
        <v>4</v>
      </c>
      <c r="M436" s="15">
        <f t="shared" si="54"/>
        <v>231</v>
      </c>
      <c r="N436" s="15">
        <f t="shared" si="55"/>
        <v>77</v>
      </c>
      <c r="O436" s="14" t="str">
        <f t="shared" si="56"/>
        <v>Good</v>
      </c>
      <c r="P436" s="15">
        <f t="shared" si="57"/>
        <v>25.666666666666668</v>
      </c>
      <c r="Q436" s="14" t="str">
        <f t="shared" si="58"/>
        <v>No</v>
      </c>
      <c r="R436" s="14" t="str">
        <f t="shared" si="59"/>
        <v>Normal Students</v>
      </c>
      <c r="S436" s="14" t="str">
        <f t="shared" si="60"/>
        <v>Unbalanced Student</v>
      </c>
      <c r="T436" s="14" t="str">
        <f t="shared" si="61"/>
        <v>High</v>
      </c>
      <c r="U436" s="21" t="str">
        <f t="shared" si="62"/>
        <v>B</v>
      </c>
    </row>
    <row r="437" spans="2:21">
      <c r="B437" s="20">
        <v>434</v>
      </c>
      <c r="C437" s="14" t="s">
        <v>32</v>
      </c>
      <c r="D437" s="14" t="s">
        <v>15</v>
      </c>
      <c r="E437" s="14">
        <v>4</v>
      </c>
      <c r="F437" s="14">
        <v>87</v>
      </c>
      <c r="G437" s="14">
        <v>83</v>
      </c>
      <c r="H437" s="14">
        <v>81</v>
      </c>
      <c r="I437" s="14">
        <v>85</v>
      </c>
      <c r="J437" s="14" t="s">
        <v>13</v>
      </c>
      <c r="K437" s="14">
        <v>6</v>
      </c>
      <c r="L437" s="14">
        <v>3</v>
      </c>
      <c r="M437" s="15">
        <f t="shared" si="54"/>
        <v>249</v>
      </c>
      <c r="N437" s="15">
        <f t="shared" si="55"/>
        <v>83</v>
      </c>
      <c r="O437" s="14" t="str">
        <f t="shared" si="56"/>
        <v>Excellent</v>
      </c>
      <c r="P437" s="15">
        <f t="shared" si="57"/>
        <v>20.75</v>
      </c>
      <c r="Q437" s="14" t="str">
        <f t="shared" si="58"/>
        <v>No</v>
      </c>
      <c r="R437" s="14" t="str">
        <f t="shared" si="59"/>
        <v>Normal Students</v>
      </c>
      <c r="S437" s="14" t="str">
        <f t="shared" si="60"/>
        <v>Balanced Student</v>
      </c>
      <c r="T437" s="14" t="str">
        <f t="shared" si="61"/>
        <v>High</v>
      </c>
      <c r="U437" s="21" t="str">
        <f t="shared" si="62"/>
        <v>A</v>
      </c>
    </row>
    <row r="438" spans="2:21">
      <c r="B438" s="20">
        <v>435</v>
      </c>
      <c r="C438" s="14" t="s">
        <v>45</v>
      </c>
      <c r="D438" s="14" t="s">
        <v>12</v>
      </c>
      <c r="E438" s="14">
        <v>2</v>
      </c>
      <c r="F438" s="14">
        <v>68</v>
      </c>
      <c r="G438" s="14">
        <v>60</v>
      </c>
      <c r="H438" s="14">
        <v>58</v>
      </c>
      <c r="I438" s="14">
        <v>64</v>
      </c>
      <c r="J438" s="14" t="s">
        <v>16</v>
      </c>
      <c r="K438" s="14">
        <v>8</v>
      </c>
      <c r="L438" s="14">
        <v>5</v>
      </c>
      <c r="M438" s="15">
        <f t="shared" si="54"/>
        <v>182</v>
      </c>
      <c r="N438" s="15">
        <f t="shared" si="55"/>
        <v>60.666666666666664</v>
      </c>
      <c r="O438" s="14" t="str">
        <f t="shared" si="56"/>
        <v>Good</v>
      </c>
      <c r="P438" s="15">
        <f t="shared" si="57"/>
        <v>30.333333333333332</v>
      </c>
      <c r="Q438" s="14" t="str">
        <f t="shared" si="58"/>
        <v>No</v>
      </c>
      <c r="R438" s="14" t="str">
        <f t="shared" si="59"/>
        <v>Normal Students</v>
      </c>
      <c r="S438" s="14" t="str">
        <f t="shared" si="60"/>
        <v>Unbalanced Student</v>
      </c>
      <c r="T438" s="14" t="str">
        <f t="shared" si="61"/>
        <v>Medium</v>
      </c>
      <c r="U438" s="21" t="str">
        <f t="shared" si="62"/>
        <v>C</v>
      </c>
    </row>
    <row r="439" spans="2:21">
      <c r="B439" s="20">
        <v>436</v>
      </c>
      <c r="C439" s="14" t="s">
        <v>155</v>
      </c>
      <c r="D439" s="14" t="s">
        <v>15</v>
      </c>
      <c r="E439" s="14">
        <v>5</v>
      </c>
      <c r="F439" s="14">
        <v>92</v>
      </c>
      <c r="G439" s="14">
        <v>88</v>
      </c>
      <c r="H439" s="14">
        <v>90</v>
      </c>
      <c r="I439" s="14">
        <v>91</v>
      </c>
      <c r="J439" s="14" t="s">
        <v>13</v>
      </c>
      <c r="K439" s="14">
        <v>6</v>
      </c>
      <c r="L439" s="14">
        <v>2</v>
      </c>
      <c r="M439" s="15">
        <f t="shared" si="54"/>
        <v>269</v>
      </c>
      <c r="N439" s="15">
        <f t="shared" si="55"/>
        <v>89.666666666666671</v>
      </c>
      <c r="O439" s="14" t="str">
        <f t="shared" si="56"/>
        <v>Excellent</v>
      </c>
      <c r="P439" s="15">
        <f t="shared" si="57"/>
        <v>17.933333333333334</v>
      </c>
      <c r="Q439" s="14" t="str">
        <f t="shared" si="58"/>
        <v>No</v>
      </c>
      <c r="R439" s="14" t="str">
        <f t="shared" si="59"/>
        <v>Normal Students</v>
      </c>
      <c r="S439" s="14" t="str">
        <f t="shared" si="60"/>
        <v>Balanced Student</v>
      </c>
      <c r="T439" s="14" t="str">
        <f t="shared" si="61"/>
        <v>High</v>
      </c>
      <c r="U439" s="21" t="str">
        <f t="shared" si="62"/>
        <v>A</v>
      </c>
    </row>
    <row r="440" spans="2:21">
      <c r="B440" s="20">
        <v>437</v>
      </c>
      <c r="C440" s="14" t="s">
        <v>63</v>
      </c>
      <c r="D440" s="14" t="s">
        <v>12</v>
      </c>
      <c r="E440" s="14">
        <v>3</v>
      </c>
      <c r="F440" s="14">
        <v>78</v>
      </c>
      <c r="G440" s="14">
        <v>72</v>
      </c>
      <c r="H440" s="14">
        <v>70</v>
      </c>
      <c r="I440" s="14">
        <v>75</v>
      </c>
      <c r="J440" s="14" t="s">
        <v>13</v>
      </c>
      <c r="K440" s="14">
        <v>7</v>
      </c>
      <c r="L440" s="14">
        <v>4</v>
      </c>
      <c r="M440" s="15">
        <f t="shared" si="54"/>
        <v>217</v>
      </c>
      <c r="N440" s="15">
        <f t="shared" si="55"/>
        <v>72.333333333333329</v>
      </c>
      <c r="O440" s="14" t="str">
        <f t="shared" si="56"/>
        <v>Good</v>
      </c>
      <c r="P440" s="15">
        <f t="shared" si="57"/>
        <v>24.111111111111111</v>
      </c>
      <c r="Q440" s="14" t="str">
        <f t="shared" si="58"/>
        <v>No</v>
      </c>
      <c r="R440" s="14" t="str">
        <f t="shared" si="59"/>
        <v>Normal Students</v>
      </c>
      <c r="S440" s="14" t="str">
        <f t="shared" si="60"/>
        <v>Unbalanced Student</v>
      </c>
      <c r="T440" s="14" t="str">
        <f t="shared" si="61"/>
        <v>Medium</v>
      </c>
      <c r="U440" s="21" t="str">
        <f t="shared" si="62"/>
        <v>B</v>
      </c>
    </row>
    <row r="441" spans="2:21">
      <c r="B441" s="20">
        <v>438</v>
      </c>
      <c r="C441" s="14" t="s">
        <v>72</v>
      </c>
      <c r="D441" s="14" t="s">
        <v>12</v>
      </c>
      <c r="E441" s="14">
        <v>4</v>
      </c>
      <c r="F441" s="14">
        <v>85</v>
      </c>
      <c r="G441" s="14">
        <v>80</v>
      </c>
      <c r="H441" s="14">
        <v>82</v>
      </c>
      <c r="I441" s="14">
        <v>84</v>
      </c>
      <c r="J441" s="14" t="s">
        <v>13</v>
      </c>
      <c r="K441" s="14">
        <v>7</v>
      </c>
      <c r="L441" s="14">
        <v>3</v>
      </c>
      <c r="M441" s="15">
        <f t="shared" si="54"/>
        <v>246</v>
      </c>
      <c r="N441" s="15">
        <f t="shared" si="55"/>
        <v>82</v>
      </c>
      <c r="O441" s="14" t="str">
        <f t="shared" si="56"/>
        <v>Excellent</v>
      </c>
      <c r="P441" s="15">
        <f t="shared" si="57"/>
        <v>20.5</v>
      </c>
      <c r="Q441" s="14" t="str">
        <f t="shared" si="58"/>
        <v>No</v>
      </c>
      <c r="R441" s="14" t="str">
        <f t="shared" si="59"/>
        <v>Normal Students</v>
      </c>
      <c r="S441" s="14" t="str">
        <f t="shared" si="60"/>
        <v>Balanced Student</v>
      </c>
      <c r="T441" s="14" t="str">
        <f t="shared" si="61"/>
        <v>High</v>
      </c>
      <c r="U441" s="21" t="str">
        <f t="shared" si="62"/>
        <v>A</v>
      </c>
    </row>
    <row r="442" spans="2:21">
      <c r="B442" s="20">
        <v>439</v>
      </c>
      <c r="C442" s="14" t="s">
        <v>30</v>
      </c>
      <c r="D442" s="14" t="s">
        <v>15</v>
      </c>
      <c r="E442" s="14">
        <v>6</v>
      </c>
      <c r="F442" s="14">
        <v>94</v>
      </c>
      <c r="G442" s="14">
        <v>91</v>
      </c>
      <c r="H442" s="14">
        <v>90</v>
      </c>
      <c r="I442" s="14">
        <v>92</v>
      </c>
      <c r="J442" s="14" t="s">
        <v>16</v>
      </c>
      <c r="K442" s="14">
        <v>6</v>
      </c>
      <c r="L442" s="14">
        <v>2</v>
      </c>
      <c r="M442" s="15">
        <f t="shared" si="54"/>
        <v>273</v>
      </c>
      <c r="N442" s="15">
        <f t="shared" si="55"/>
        <v>91</v>
      </c>
      <c r="O442" s="14" t="str">
        <f t="shared" si="56"/>
        <v>Excellent</v>
      </c>
      <c r="P442" s="15">
        <f t="shared" si="57"/>
        <v>15.166666666666666</v>
      </c>
      <c r="Q442" s="14" t="str">
        <f t="shared" si="58"/>
        <v>No</v>
      </c>
      <c r="R442" s="14" t="str">
        <f t="shared" si="59"/>
        <v>Normal Students</v>
      </c>
      <c r="S442" s="14" t="str">
        <f t="shared" si="60"/>
        <v>Balanced Student</v>
      </c>
      <c r="T442" s="14" t="str">
        <f t="shared" si="61"/>
        <v>High</v>
      </c>
      <c r="U442" s="21" t="str">
        <f t="shared" si="62"/>
        <v>A</v>
      </c>
    </row>
    <row r="443" spans="2:21">
      <c r="B443" s="20">
        <v>440</v>
      </c>
      <c r="C443" s="14" t="s">
        <v>85</v>
      </c>
      <c r="D443" s="14" t="s">
        <v>12</v>
      </c>
      <c r="E443" s="14">
        <v>2</v>
      </c>
      <c r="F443" s="14">
        <v>70</v>
      </c>
      <c r="G443" s="14">
        <v>62</v>
      </c>
      <c r="H443" s="14">
        <v>60</v>
      </c>
      <c r="I443" s="14">
        <v>66</v>
      </c>
      <c r="J443" s="14" t="s">
        <v>16</v>
      </c>
      <c r="K443" s="14">
        <v>8</v>
      </c>
      <c r="L443" s="14">
        <v>5</v>
      </c>
      <c r="M443" s="15">
        <f t="shared" si="54"/>
        <v>188</v>
      </c>
      <c r="N443" s="15">
        <f t="shared" si="55"/>
        <v>62.666666666666664</v>
      </c>
      <c r="O443" s="14" t="str">
        <f t="shared" si="56"/>
        <v>Good</v>
      </c>
      <c r="P443" s="15">
        <f t="shared" si="57"/>
        <v>31.333333333333332</v>
      </c>
      <c r="Q443" s="14" t="str">
        <f t="shared" si="58"/>
        <v>No</v>
      </c>
      <c r="R443" s="14" t="str">
        <f t="shared" si="59"/>
        <v>Normal Students</v>
      </c>
      <c r="S443" s="14" t="str">
        <f t="shared" si="60"/>
        <v>Unbalanced Student</v>
      </c>
      <c r="T443" s="14" t="str">
        <f t="shared" si="61"/>
        <v>Medium</v>
      </c>
      <c r="U443" s="21" t="str">
        <f t="shared" si="62"/>
        <v>C</v>
      </c>
    </row>
    <row r="444" spans="2:21">
      <c r="B444" s="20">
        <v>441</v>
      </c>
      <c r="C444" s="14" t="s">
        <v>71</v>
      </c>
      <c r="D444" s="14" t="s">
        <v>12</v>
      </c>
      <c r="E444" s="14">
        <v>3</v>
      </c>
      <c r="F444" s="14">
        <v>78</v>
      </c>
      <c r="G444" s="14">
        <v>72</v>
      </c>
      <c r="H444" s="14">
        <v>70</v>
      </c>
      <c r="I444" s="14">
        <v>75</v>
      </c>
      <c r="J444" s="14" t="s">
        <v>13</v>
      </c>
      <c r="K444" s="14">
        <v>7</v>
      </c>
      <c r="L444" s="14">
        <v>4</v>
      </c>
      <c r="M444" s="15">
        <f t="shared" si="54"/>
        <v>217</v>
      </c>
      <c r="N444" s="15">
        <f t="shared" si="55"/>
        <v>72.333333333333329</v>
      </c>
      <c r="O444" s="14" t="str">
        <f t="shared" si="56"/>
        <v>Good</v>
      </c>
      <c r="P444" s="15">
        <f t="shared" si="57"/>
        <v>24.111111111111111</v>
      </c>
      <c r="Q444" s="14" t="str">
        <f t="shared" si="58"/>
        <v>No</v>
      </c>
      <c r="R444" s="14" t="str">
        <f t="shared" si="59"/>
        <v>Normal Students</v>
      </c>
      <c r="S444" s="14" t="str">
        <f t="shared" si="60"/>
        <v>Unbalanced Student</v>
      </c>
      <c r="T444" s="14" t="str">
        <f t="shared" si="61"/>
        <v>Medium</v>
      </c>
      <c r="U444" s="21" t="str">
        <f t="shared" si="62"/>
        <v>B</v>
      </c>
    </row>
    <row r="445" spans="2:21">
      <c r="B445" s="20">
        <v>447</v>
      </c>
      <c r="C445" s="14" t="s">
        <v>52</v>
      </c>
      <c r="D445" s="14" t="s">
        <v>15</v>
      </c>
      <c r="E445" s="14">
        <v>4</v>
      </c>
      <c r="F445" s="14">
        <v>85</v>
      </c>
      <c r="G445" s="14">
        <v>80</v>
      </c>
      <c r="H445" s="14">
        <v>82</v>
      </c>
      <c r="I445" s="14">
        <v>84</v>
      </c>
      <c r="J445" s="14" t="s">
        <v>13</v>
      </c>
      <c r="K445" s="14">
        <v>7</v>
      </c>
      <c r="L445" s="14">
        <v>3</v>
      </c>
      <c r="M445" s="15">
        <f t="shared" si="54"/>
        <v>246</v>
      </c>
      <c r="N445" s="15">
        <f t="shared" si="55"/>
        <v>82</v>
      </c>
      <c r="O445" s="14" t="str">
        <f t="shared" si="56"/>
        <v>Excellent</v>
      </c>
      <c r="P445" s="15">
        <f t="shared" si="57"/>
        <v>20.5</v>
      </c>
      <c r="Q445" s="14" t="str">
        <f t="shared" si="58"/>
        <v>No</v>
      </c>
      <c r="R445" s="14" t="str">
        <f t="shared" si="59"/>
        <v>Normal Students</v>
      </c>
      <c r="S445" s="14" t="str">
        <f t="shared" si="60"/>
        <v>Balanced Student</v>
      </c>
      <c r="T445" s="14" t="str">
        <f t="shared" si="61"/>
        <v>High</v>
      </c>
      <c r="U445" s="21" t="str">
        <f t="shared" si="62"/>
        <v>A</v>
      </c>
    </row>
    <row r="446" spans="2:21">
      <c r="B446" s="20">
        <v>452</v>
      </c>
      <c r="C446" s="14" t="s">
        <v>35</v>
      </c>
      <c r="D446" s="14" t="s">
        <v>12</v>
      </c>
      <c r="E446" s="14">
        <v>2</v>
      </c>
      <c r="F446" s="14">
        <v>70</v>
      </c>
      <c r="G446" s="14">
        <v>62</v>
      </c>
      <c r="H446" s="14">
        <v>60</v>
      </c>
      <c r="I446" s="14">
        <v>66</v>
      </c>
      <c r="J446" s="14" t="s">
        <v>16</v>
      </c>
      <c r="K446" s="14">
        <v>8</v>
      </c>
      <c r="L446" s="14">
        <v>5</v>
      </c>
      <c r="M446" s="15">
        <f t="shared" si="54"/>
        <v>188</v>
      </c>
      <c r="N446" s="15">
        <f t="shared" si="55"/>
        <v>62.666666666666664</v>
      </c>
      <c r="O446" s="14" t="str">
        <f t="shared" si="56"/>
        <v>Good</v>
      </c>
      <c r="P446" s="15">
        <f t="shared" si="57"/>
        <v>31.333333333333332</v>
      </c>
      <c r="Q446" s="14" t="str">
        <f t="shared" si="58"/>
        <v>No</v>
      </c>
      <c r="R446" s="14" t="str">
        <f t="shared" si="59"/>
        <v>Normal Students</v>
      </c>
      <c r="S446" s="14" t="str">
        <f t="shared" si="60"/>
        <v>Unbalanced Student</v>
      </c>
      <c r="T446" s="14" t="str">
        <f t="shared" si="61"/>
        <v>Medium</v>
      </c>
      <c r="U446" s="21" t="str">
        <f t="shared" si="62"/>
        <v>C</v>
      </c>
    </row>
    <row r="447" spans="2:21">
      <c r="B447" s="20">
        <v>442</v>
      </c>
      <c r="C447" s="14" t="s">
        <v>68</v>
      </c>
      <c r="D447" s="14" t="s">
        <v>69</v>
      </c>
      <c r="E447" s="14">
        <v>4</v>
      </c>
      <c r="F447" s="14">
        <v>88</v>
      </c>
      <c r="G447" s="14">
        <v>82</v>
      </c>
      <c r="H447" s="14">
        <v>79</v>
      </c>
      <c r="I447" s="14">
        <v>85</v>
      </c>
      <c r="J447" s="14" t="s">
        <v>70</v>
      </c>
      <c r="K447" s="14">
        <v>7</v>
      </c>
      <c r="L447" s="14">
        <v>3</v>
      </c>
      <c r="M447" s="15">
        <f t="shared" si="54"/>
        <v>246</v>
      </c>
      <c r="N447" s="15">
        <f t="shared" si="55"/>
        <v>82</v>
      </c>
      <c r="O447" s="14" t="str">
        <f t="shared" si="56"/>
        <v>Excellent</v>
      </c>
      <c r="P447" s="15">
        <f t="shared" si="57"/>
        <v>20.5</v>
      </c>
      <c r="Q447" s="14" t="str">
        <f t="shared" si="58"/>
        <v>No</v>
      </c>
      <c r="R447" s="14" t="str">
        <f t="shared" si="59"/>
        <v>Normal Students</v>
      </c>
      <c r="S447" s="14" t="str">
        <f t="shared" si="60"/>
        <v>Balanced Student</v>
      </c>
      <c r="T447" s="14" t="str">
        <f t="shared" si="61"/>
        <v>High</v>
      </c>
      <c r="U447" s="21" t="str">
        <f t="shared" si="62"/>
        <v>A</v>
      </c>
    </row>
    <row r="448" spans="2:21">
      <c r="B448" s="20">
        <v>443</v>
      </c>
      <c r="C448" s="14" t="s">
        <v>65</v>
      </c>
      <c r="D448" s="14" t="s">
        <v>66</v>
      </c>
      <c r="E448" s="14">
        <v>3</v>
      </c>
      <c r="F448" s="14">
        <v>85</v>
      </c>
      <c r="G448" s="14">
        <v>78</v>
      </c>
      <c r="H448" s="14">
        <v>72</v>
      </c>
      <c r="I448" s="14">
        <v>80</v>
      </c>
      <c r="J448" s="14" t="s">
        <v>67</v>
      </c>
      <c r="K448" s="14">
        <v>7</v>
      </c>
      <c r="L448" s="14">
        <v>3</v>
      </c>
      <c r="M448" s="15">
        <f t="shared" si="54"/>
        <v>230</v>
      </c>
      <c r="N448" s="15">
        <f t="shared" si="55"/>
        <v>76.666666666666671</v>
      </c>
      <c r="O448" s="14" t="str">
        <f t="shared" si="56"/>
        <v>Good</v>
      </c>
      <c r="P448" s="15">
        <f t="shared" si="57"/>
        <v>25.555555555555557</v>
      </c>
      <c r="Q448" s="14" t="str">
        <f t="shared" si="58"/>
        <v>No</v>
      </c>
      <c r="R448" s="14" t="str">
        <f t="shared" si="59"/>
        <v>Normal Students</v>
      </c>
      <c r="S448" s="14" t="str">
        <f t="shared" si="60"/>
        <v>Unbalanced Student</v>
      </c>
      <c r="T448" s="14" t="str">
        <f t="shared" si="61"/>
        <v>High</v>
      </c>
      <c r="U448" s="21" t="str">
        <f t="shared" si="62"/>
        <v>B</v>
      </c>
    </row>
    <row r="449" spans="2:21">
      <c r="B449" s="20">
        <v>444</v>
      </c>
      <c r="C449" s="14" t="s">
        <v>154</v>
      </c>
      <c r="D449" s="14" t="s">
        <v>15</v>
      </c>
      <c r="E449" s="14">
        <v>0</v>
      </c>
      <c r="F449" s="14">
        <v>85</v>
      </c>
      <c r="G449" s="14">
        <v>80</v>
      </c>
      <c r="H449" s="14">
        <v>82</v>
      </c>
      <c r="I449" s="14">
        <v>84</v>
      </c>
      <c r="J449" s="14" t="s">
        <v>13</v>
      </c>
      <c r="K449" s="14">
        <v>7</v>
      </c>
      <c r="L449" s="14">
        <v>3</v>
      </c>
      <c r="M449" s="15">
        <f t="shared" si="54"/>
        <v>246</v>
      </c>
      <c r="N449" s="15">
        <f t="shared" si="55"/>
        <v>82</v>
      </c>
      <c r="O449" s="14" t="str">
        <f t="shared" si="56"/>
        <v>Excellent</v>
      </c>
      <c r="P449" s="15">
        <f t="shared" si="57"/>
        <v>0</v>
      </c>
      <c r="Q449" s="14" t="str">
        <f t="shared" si="58"/>
        <v>No</v>
      </c>
      <c r="R449" s="14" t="str">
        <f t="shared" si="59"/>
        <v>Smart Students</v>
      </c>
      <c r="S449" s="14" t="str">
        <f t="shared" si="60"/>
        <v>Balanced Student</v>
      </c>
      <c r="T449" s="14" t="str">
        <f t="shared" si="61"/>
        <v>High</v>
      </c>
      <c r="U449" s="21" t="str">
        <f t="shared" si="62"/>
        <v>A</v>
      </c>
    </row>
    <row r="450" spans="2:21">
      <c r="B450" s="20">
        <v>445</v>
      </c>
      <c r="C450" s="14" t="s">
        <v>39</v>
      </c>
      <c r="D450" s="14" t="s">
        <v>12</v>
      </c>
      <c r="E450" s="14">
        <v>2</v>
      </c>
      <c r="F450" s="14">
        <v>70</v>
      </c>
      <c r="G450" s="14">
        <v>62</v>
      </c>
      <c r="H450" s="14">
        <v>60</v>
      </c>
      <c r="I450" s="14">
        <v>66</v>
      </c>
      <c r="J450" s="14" t="s">
        <v>16</v>
      </c>
      <c r="K450" s="14">
        <v>8</v>
      </c>
      <c r="L450" s="14">
        <v>5</v>
      </c>
      <c r="M450" s="15">
        <f t="shared" si="54"/>
        <v>188</v>
      </c>
      <c r="N450" s="15">
        <f t="shared" si="55"/>
        <v>62.666666666666664</v>
      </c>
      <c r="O450" s="14" t="str">
        <f t="shared" si="56"/>
        <v>Good</v>
      </c>
      <c r="P450" s="15">
        <f t="shared" si="57"/>
        <v>31.333333333333332</v>
      </c>
      <c r="Q450" s="14" t="str">
        <f t="shared" si="58"/>
        <v>No</v>
      </c>
      <c r="R450" s="14" t="str">
        <f t="shared" si="59"/>
        <v>Normal Students</v>
      </c>
      <c r="S450" s="14" t="str">
        <f t="shared" si="60"/>
        <v>Unbalanced Student</v>
      </c>
      <c r="T450" s="14" t="str">
        <f t="shared" si="61"/>
        <v>Medium</v>
      </c>
      <c r="U450" s="21" t="str">
        <f t="shared" si="62"/>
        <v>C</v>
      </c>
    </row>
    <row r="451" spans="2:21">
      <c r="B451" s="20">
        <v>446</v>
      </c>
      <c r="C451" s="14" t="s">
        <v>28</v>
      </c>
      <c r="D451" s="14" t="s">
        <v>15</v>
      </c>
      <c r="E451" s="14">
        <v>5</v>
      </c>
      <c r="F451" s="14">
        <v>92</v>
      </c>
      <c r="G451" s="14">
        <v>88</v>
      </c>
      <c r="H451" s="14">
        <v>90</v>
      </c>
      <c r="I451" s="14">
        <v>91</v>
      </c>
      <c r="J451" s="14" t="s">
        <v>13</v>
      </c>
      <c r="K451" s="14">
        <v>6</v>
      </c>
      <c r="L451" s="14">
        <v>2</v>
      </c>
      <c r="M451" s="15">
        <f t="shared" si="54"/>
        <v>269</v>
      </c>
      <c r="N451" s="15">
        <f t="shared" si="55"/>
        <v>89.666666666666671</v>
      </c>
      <c r="O451" s="14" t="str">
        <f t="shared" si="56"/>
        <v>Excellent</v>
      </c>
      <c r="P451" s="15">
        <f t="shared" si="57"/>
        <v>17.933333333333334</v>
      </c>
      <c r="Q451" s="14" t="str">
        <f t="shared" si="58"/>
        <v>No</v>
      </c>
      <c r="R451" s="14" t="str">
        <f t="shared" si="59"/>
        <v>Normal Students</v>
      </c>
      <c r="S451" s="14" t="str">
        <f t="shared" si="60"/>
        <v>Balanced Student</v>
      </c>
      <c r="T451" s="14" t="str">
        <f t="shared" si="61"/>
        <v>High</v>
      </c>
      <c r="U451" s="21" t="str">
        <f t="shared" si="62"/>
        <v>A</v>
      </c>
    </row>
    <row r="452" spans="2:21">
      <c r="B452" s="20">
        <v>448</v>
      </c>
      <c r="C452" s="14" t="s">
        <v>53</v>
      </c>
      <c r="D452" s="14" t="s">
        <v>12</v>
      </c>
      <c r="E452" s="14">
        <v>1</v>
      </c>
      <c r="F452" s="14">
        <v>62</v>
      </c>
      <c r="G452" s="14">
        <v>52</v>
      </c>
      <c r="H452" s="14">
        <v>50</v>
      </c>
      <c r="I452" s="14">
        <v>57</v>
      </c>
      <c r="J452" s="14" t="s">
        <v>16</v>
      </c>
      <c r="K452" s="14">
        <v>8</v>
      </c>
      <c r="L452" s="14">
        <v>6</v>
      </c>
      <c r="M452" s="15">
        <f t="shared" si="54"/>
        <v>159</v>
      </c>
      <c r="N452" s="15">
        <f t="shared" si="55"/>
        <v>53</v>
      </c>
      <c r="O452" s="14" t="str">
        <f t="shared" si="56"/>
        <v>Needs Improvement</v>
      </c>
      <c r="P452" s="15">
        <f t="shared" si="57"/>
        <v>53</v>
      </c>
      <c r="Q452" s="14" t="str">
        <f t="shared" si="58"/>
        <v>Yes</v>
      </c>
      <c r="R452" s="14" t="str">
        <f t="shared" si="59"/>
        <v>Normal Students</v>
      </c>
      <c r="S452" s="14" t="str">
        <f t="shared" si="60"/>
        <v>Unbalanced Student</v>
      </c>
      <c r="T452" s="14" t="str">
        <f t="shared" si="61"/>
        <v>Medium</v>
      </c>
      <c r="U452" s="21" t="str">
        <f t="shared" si="62"/>
        <v>D</v>
      </c>
    </row>
    <row r="453" spans="2:21">
      <c r="B453" s="20">
        <v>449</v>
      </c>
      <c r="C453" s="14" t="s">
        <v>22</v>
      </c>
      <c r="D453" s="14" t="s">
        <v>15</v>
      </c>
      <c r="E453" s="14">
        <v>4</v>
      </c>
      <c r="F453" s="14">
        <v>87</v>
      </c>
      <c r="G453" s="14">
        <v>83</v>
      </c>
      <c r="H453" s="14">
        <v>81</v>
      </c>
      <c r="I453" s="14">
        <v>85</v>
      </c>
      <c r="J453" s="14" t="s">
        <v>13</v>
      </c>
      <c r="K453" s="14">
        <v>6</v>
      </c>
      <c r="L453" s="14">
        <v>3</v>
      </c>
      <c r="M453" s="15">
        <f t="shared" ref="M453:M503" si="63">SUM(G453:I453)</f>
        <v>249</v>
      </c>
      <c r="N453" s="15">
        <f t="shared" ref="N453:N503" si="64">AVERAGE(G453:I453)</f>
        <v>83</v>
      </c>
      <c r="O453" s="14" t="str">
        <f t="shared" ref="O453:O503" si="65">IF(N453&gt;= 80, "Excellent",IF(N453&gt;=60, "Good","Needs Improvement"))</f>
        <v>Excellent</v>
      </c>
      <c r="P453" s="15">
        <f t="shared" ref="P453:P503" si="66">IF(E453,N453/E453,0)</f>
        <v>20.75</v>
      </c>
      <c r="Q453" s="14" t="str">
        <f t="shared" ref="Q453:Q503" si="67">IF(AND(F453 &lt; 75,N453 &lt; 60),"Yes", "No")</f>
        <v>No</v>
      </c>
      <c r="R453" s="14" t="str">
        <f t="shared" ref="R453:R503" si="68">IF(AND(N453&gt;=80,E453&lt;=2),"Smart Students","Normal Students")</f>
        <v>Normal Students</v>
      </c>
      <c r="S453" s="14" t="str">
        <f t="shared" ref="S453:S503" si="69">IF(AND(F453&gt;=75,K453&gt;=6,N453&gt;=80),"Balanced Student","Unbalanced Student")</f>
        <v>Balanced Student</v>
      </c>
      <c r="T453" s="14" t="str">
        <f t="shared" ref="T453:T503" si="70">IF(F453&gt;= 80, "High",
IF(F453&gt;=60,"Medium", "Low"))</f>
        <v>High</v>
      </c>
      <c r="U453" s="21" t="str">
        <f t="shared" ref="U453:U503" si="71">VLOOKUP(N453,$AA$5:$AB$9,2,1)</f>
        <v>A</v>
      </c>
    </row>
    <row r="454" spans="2:21">
      <c r="B454" s="20">
        <v>450</v>
      </c>
      <c r="C454" s="14" t="s">
        <v>157</v>
      </c>
      <c r="D454" s="14" t="s">
        <v>12</v>
      </c>
      <c r="E454" s="14">
        <v>2</v>
      </c>
      <c r="F454" s="14">
        <v>68</v>
      </c>
      <c r="G454" s="14">
        <v>60</v>
      </c>
      <c r="H454" s="14">
        <v>58</v>
      </c>
      <c r="I454" s="14">
        <v>64</v>
      </c>
      <c r="J454" s="14" t="s">
        <v>16</v>
      </c>
      <c r="K454" s="14">
        <v>8</v>
      </c>
      <c r="L454" s="14">
        <v>5</v>
      </c>
      <c r="M454" s="15">
        <f t="shared" si="63"/>
        <v>182</v>
      </c>
      <c r="N454" s="15">
        <f t="shared" si="64"/>
        <v>60.666666666666664</v>
      </c>
      <c r="O454" s="14" t="str">
        <f t="shared" si="65"/>
        <v>Good</v>
      </c>
      <c r="P454" s="15">
        <f t="shared" si="66"/>
        <v>30.333333333333332</v>
      </c>
      <c r="Q454" s="14" t="str">
        <f t="shared" si="67"/>
        <v>No</v>
      </c>
      <c r="R454" s="14" t="str">
        <f t="shared" si="68"/>
        <v>Normal Students</v>
      </c>
      <c r="S454" s="14" t="str">
        <f t="shared" si="69"/>
        <v>Unbalanced Student</v>
      </c>
      <c r="T454" s="14" t="str">
        <f t="shared" si="70"/>
        <v>Medium</v>
      </c>
      <c r="U454" s="21" t="str">
        <f t="shared" si="71"/>
        <v>C</v>
      </c>
    </row>
    <row r="455" spans="2:21">
      <c r="B455" s="20">
        <v>451</v>
      </c>
      <c r="C455" s="14" t="s">
        <v>34</v>
      </c>
      <c r="D455" s="14" t="s">
        <v>15</v>
      </c>
      <c r="E455" s="14">
        <v>5</v>
      </c>
      <c r="F455" s="14">
        <v>92</v>
      </c>
      <c r="G455" s="14">
        <v>88</v>
      </c>
      <c r="H455" s="14">
        <v>90</v>
      </c>
      <c r="I455" s="14">
        <v>91</v>
      </c>
      <c r="J455" s="14" t="s">
        <v>13</v>
      </c>
      <c r="K455" s="14">
        <v>6</v>
      </c>
      <c r="L455" s="14">
        <v>2</v>
      </c>
      <c r="M455" s="15">
        <f t="shared" si="63"/>
        <v>269</v>
      </c>
      <c r="N455" s="15">
        <f t="shared" si="64"/>
        <v>89.666666666666671</v>
      </c>
      <c r="O455" s="14" t="str">
        <f t="shared" si="65"/>
        <v>Excellent</v>
      </c>
      <c r="P455" s="15">
        <f t="shared" si="66"/>
        <v>17.933333333333334</v>
      </c>
      <c r="Q455" s="14" t="str">
        <f t="shared" si="67"/>
        <v>No</v>
      </c>
      <c r="R455" s="14" t="str">
        <f t="shared" si="68"/>
        <v>Normal Students</v>
      </c>
      <c r="S455" s="14" t="str">
        <f t="shared" si="69"/>
        <v>Balanced Student</v>
      </c>
      <c r="T455" s="14" t="str">
        <f t="shared" si="70"/>
        <v>High</v>
      </c>
      <c r="U455" s="21" t="str">
        <f t="shared" si="71"/>
        <v>A</v>
      </c>
    </row>
    <row r="456" spans="2:21">
      <c r="B456" s="20">
        <v>453</v>
      </c>
      <c r="C456" s="14" t="s">
        <v>82</v>
      </c>
      <c r="D456" s="14" t="s">
        <v>12</v>
      </c>
      <c r="E456" s="14">
        <v>3</v>
      </c>
      <c r="F456" s="14">
        <v>78</v>
      </c>
      <c r="G456" s="14">
        <v>72</v>
      </c>
      <c r="H456" s="14">
        <v>70</v>
      </c>
      <c r="I456" s="14">
        <v>75</v>
      </c>
      <c r="J456" s="14" t="s">
        <v>13</v>
      </c>
      <c r="K456" s="14">
        <v>7</v>
      </c>
      <c r="L456" s="14">
        <v>4</v>
      </c>
      <c r="M456" s="15">
        <f t="shared" si="63"/>
        <v>217</v>
      </c>
      <c r="N456" s="15">
        <f t="shared" si="64"/>
        <v>72.333333333333329</v>
      </c>
      <c r="O456" s="14" t="str">
        <f t="shared" si="65"/>
        <v>Good</v>
      </c>
      <c r="P456" s="15">
        <f t="shared" si="66"/>
        <v>24.111111111111111</v>
      </c>
      <c r="Q456" s="14" t="str">
        <f t="shared" si="67"/>
        <v>No</v>
      </c>
      <c r="R456" s="14" t="str">
        <f t="shared" si="68"/>
        <v>Normal Students</v>
      </c>
      <c r="S456" s="14" t="str">
        <f t="shared" si="69"/>
        <v>Unbalanced Student</v>
      </c>
      <c r="T456" s="14" t="str">
        <f t="shared" si="70"/>
        <v>Medium</v>
      </c>
      <c r="U456" s="21" t="str">
        <f t="shared" si="71"/>
        <v>B</v>
      </c>
    </row>
    <row r="457" spans="2:21">
      <c r="B457" s="20">
        <v>454</v>
      </c>
      <c r="C457" s="14" t="s">
        <v>50</v>
      </c>
      <c r="D457" s="14" t="s">
        <v>15</v>
      </c>
      <c r="E457" s="14">
        <v>4</v>
      </c>
      <c r="F457" s="14">
        <v>85</v>
      </c>
      <c r="G457" s="14">
        <v>80</v>
      </c>
      <c r="H457" s="14">
        <v>82</v>
      </c>
      <c r="I457" s="14">
        <v>84</v>
      </c>
      <c r="J457" s="14" t="s">
        <v>13</v>
      </c>
      <c r="K457" s="14">
        <v>7</v>
      </c>
      <c r="L457" s="14">
        <v>3</v>
      </c>
      <c r="M457" s="15">
        <f t="shared" si="63"/>
        <v>246</v>
      </c>
      <c r="N457" s="15">
        <f t="shared" si="64"/>
        <v>82</v>
      </c>
      <c r="O457" s="14" t="str">
        <f t="shared" si="65"/>
        <v>Excellent</v>
      </c>
      <c r="P457" s="15">
        <f t="shared" si="66"/>
        <v>20.5</v>
      </c>
      <c r="Q457" s="14" t="str">
        <f t="shared" si="67"/>
        <v>No</v>
      </c>
      <c r="R457" s="14" t="str">
        <f t="shared" si="68"/>
        <v>Normal Students</v>
      </c>
      <c r="S457" s="14" t="str">
        <f t="shared" si="69"/>
        <v>Balanced Student</v>
      </c>
      <c r="T457" s="14" t="str">
        <f t="shared" si="70"/>
        <v>High</v>
      </c>
      <c r="U457" s="21" t="str">
        <f t="shared" si="71"/>
        <v>A</v>
      </c>
    </row>
    <row r="458" spans="2:21">
      <c r="B458" s="20">
        <v>455</v>
      </c>
      <c r="C458" s="14" t="s">
        <v>111</v>
      </c>
      <c r="D458" s="14" t="s">
        <v>12</v>
      </c>
      <c r="E458" s="14">
        <v>6</v>
      </c>
      <c r="F458" s="14">
        <v>94</v>
      </c>
      <c r="G458" s="14">
        <v>91</v>
      </c>
      <c r="H458" s="14">
        <v>90</v>
      </c>
      <c r="I458" s="14">
        <v>92</v>
      </c>
      <c r="J458" s="14" t="s">
        <v>16</v>
      </c>
      <c r="K458" s="14">
        <v>6</v>
      </c>
      <c r="L458" s="14">
        <v>2</v>
      </c>
      <c r="M458" s="15">
        <f t="shared" si="63"/>
        <v>273</v>
      </c>
      <c r="N458" s="15">
        <f t="shared" si="64"/>
        <v>91</v>
      </c>
      <c r="O458" s="14" t="str">
        <f t="shared" si="65"/>
        <v>Excellent</v>
      </c>
      <c r="P458" s="15">
        <f t="shared" si="66"/>
        <v>15.166666666666666</v>
      </c>
      <c r="Q458" s="14" t="str">
        <f t="shared" si="67"/>
        <v>No</v>
      </c>
      <c r="R458" s="14" t="str">
        <f t="shared" si="68"/>
        <v>Normal Students</v>
      </c>
      <c r="S458" s="14" t="str">
        <f t="shared" si="69"/>
        <v>Balanced Student</v>
      </c>
      <c r="T458" s="14" t="str">
        <f t="shared" si="70"/>
        <v>High</v>
      </c>
      <c r="U458" s="21" t="str">
        <f t="shared" si="71"/>
        <v>A</v>
      </c>
    </row>
    <row r="459" spans="2:21">
      <c r="B459" s="20">
        <v>456</v>
      </c>
      <c r="C459" s="14" t="s">
        <v>165</v>
      </c>
      <c r="D459" s="14" t="s">
        <v>15</v>
      </c>
      <c r="E459" s="14">
        <v>3</v>
      </c>
      <c r="F459" s="14">
        <v>79</v>
      </c>
      <c r="G459" s="14">
        <v>74</v>
      </c>
      <c r="H459" s="14">
        <v>72</v>
      </c>
      <c r="I459" s="14">
        <v>76</v>
      </c>
      <c r="J459" s="14" t="s">
        <v>13</v>
      </c>
      <c r="K459" s="14">
        <v>7</v>
      </c>
      <c r="L459" s="14">
        <v>4</v>
      </c>
      <c r="M459" s="15">
        <f t="shared" si="63"/>
        <v>222</v>
      </c>
      <c r="N459" s="15">
        <f t="shared" si="64"/>
        <v>74</v>
      </c>
      <c r="O459" s="14" t="str">
        <f t="shared" si="65"/>
        <v>Good</v>
      </c>
      <c r="P459" s="15">
        <f t="shared" si="66"/>
        <v>24.666666666666668</v>
      </c>
      <c r="Q459" s="14" t="str">
        <f t="shared" si="67"/>
        <v>No</v>
      </c>
      <c r="R459" s="14" t="str">
        <f t="shared" si="68"/>
        <v>Normal Students</v>
      </c>
      <c r="S459" s="14" t="str">
        <f t="shared" si="69"/>
        <v>Unbalanced Student</v>
      </c>
      <c r="T459" s="14" t="str">
        <f t="shared" si="70"/>
        <v>Medium</v>
      </c>
      <c r="U459" s="21" t="str">
        <f t="shared" si="71"/>
        <v>B</v>
      </c>
    </row>
    <row r="460" spans="2:21">
      <c r="B460" s="20">
        <v>457</v>
      </c>
      <c r="C460" s="14" t="s">
        <v>33</v>
      </c>
      <c r="D460" s="14" t="s">
        <v>12</v>
      </c>
      <c r="E460" s="14">
        <v>2</v>
      </c>
      <c r="F460" s="14">
        <v>70</v>
      </c>
      <c r="G460" s="14">
        <v>62</v>
      </c>
      <c r="H460" s="14">
        <v>60</v>
      </c>
      <c r="I460" s="14">
        <v>66</v>
      </c>
      <c r="J460" s="14" t="s">
        <v>16</v>
      </c>
      <c r="K460" s="14">
        <v>8</v>
      </c>
      <c r="L460" s="14">
        <v>5</v>
      </c>
      <c r="M460" s="15">
        <f t="shared" si="63"/>
        <v>188</v>
      </c>
      <c r="N460" s="15">
        <f t="shared" si="64"/>
        <v>62.666666666666664</v>
      </c>
      <c r="O460" s="14" t="str">
        <f t="shared" si="65"/>
        <v>Good</v>
      </c>
      <c r="P460" s="15">
        <f t="shared" si="66"/>
        <v>31.333333333333332</v>
      </c>
      <c r="Q460" s="14" t="str">
        <f t="shared" si="67"/>
        <v>No</v>
      </c>
      <c r="R460" s="14" t="str">
        <f t="shared" si="68"/>
        <v>Normal Students</v>
      </c>
      <c r="S460" s="14" t="str">
        <f t="shared" si="69"/>
        <v>Unbalanced Student</v>
      </c>
      <c r="T460" s="14" t="str">
        <f t="shared" si="70"/>
        <v>Medium</v>
      </c>
      <c r="U460" s="21" t="str">
        <f t="shared" si="71"/>
        <v>C</v>
      </c>
    </row>
    <row r="461" spans="2:21">
      <c r="B461" s="20">
        <v>458</v>
      </c>
      <c r="C461" s="14" t="s">
        <v>56</v>
      </c>
      <c r="D461" s="14" t="s">
        <v>15</v>
      </c>
      <c r="E461" s="14">
        <v>5</v>
      </c>
      <c r="F461" s="14">
        <v>90</v>
      </c>
      <c r="G461" s="14">
        <v>86</v>
      </c>
      <c r="H461" s="14">
        <v>88</v>
      </c>
      <c r="I461" s="14">
        <v>89</v>
      </c>
      <c r="J461" s="14" t="s">
        <v>13</v>
      </c>
      <c r="K461" s="14">
        <v>6</v>
      </c>
      <c r="L461" s="14">
        <v>2</v>
      </c>
      <c r="M461" s="15">
        <f t="shared" si="63"/>
        <v>263</v>
      </c>
      <c r="N461" s="15">
        <f t="shared" si="64"/>
        <v>87.666666666666671</v>
      </c>
      <c r="O461" s="14" t="str">
        <f t="shared" si="65"/>
        <v>Excellent</v>
      </c>
      <c r="P461" s="15">
        <f t="shared" si="66"/>
        <v>17.533333333333335</v>
      </c>
      <c r="Q461" s="14" t="str">
        <f t="shared" si="67"/>
        <v>No</v>
      </c>
      <c r="R461" s="14" t="str">
        <f t="shared" si="68"/>
        <v>Normal Students</v>
      </c>
      <c r="S461" s="14" t="str">
        <f t="shared" si="69"/>
        <v>Balanced Student</v>
      </c>
      <c r="T461" s="14" t="str">
        <f t="shared" si="70"/>
        <v>High</v>
      </c>
      <c r="U461" s="21" t="str">
        <f t="shared" si="71"/>
        <v>A</v>
      </c>
    </row>
    <row r="462" spans="2:21">
      <c r="B462" s="20">
        <v>459</v>
      </c>
      <c r="C462" s="14" t="s">
        <v>27</v>
      </c>
      <c r="D462" s="14" t="s">
        <v>12</v>
      </c>
      <c r="E462" s="14">
        <v>3</v>
      </c>
      <c r="F462" s="14">
        <v>82</v>
      </c>
      <c r="G462" s="14">
        <v>76</v>
      </c>
      <c r="H462" s="14">
        <v>75</v>
      </c>
      <c r="I462" s="14">
        <v>80</v>
      </c>
      <c r="J462" s="14" t="s">
        <v>16</v>
      </c>
      <c r="K462" s="14">
        <v>7</v>
      </c>
      <c r="L462" s="14">
        <v>4</v>
      </c>
      <c r="M462" s="15">
        <f t="shared" si="63"/>
        <v>231</v>
      </c>
      <c r="N462" s="15">
        <f t="shared" si="64"/>
        <v>77</v>
      </c>
      <c r="O462" s="14" t="str">
        <f t="shared" si="65"/>
        <v>Good</v>
      </c>
      <c r="P462" s="15">
        <f t="shared" si="66"/>
        <v>25.666666666666668</v>
      </c>
      <c r="Q462" s="14" t="str">
        <f t="shared" si="67"/>
        <v>No</v>
      </c>
      <c r="R462" s="14" t="str">
        <f t="shared" si="68"/>
        <v>Normal Students</v>
      </c>
      <c r="S462" s="14" t="str">
        <f t="shared" si="69"/>
        <v>Unbalanced Student</v>
      </c>
      <c r="T462" s="14" t="str">
        <f t="shared" si="70"/>
        <v>High</v>
      </c>
      <c r="U462" s="21" t="str">
        <f t="shared" si="71"/>
        <v>B</v>
      </c>
    </row>
    <row r="463" spans="2:21">
      <c r="B463" s="20">
        <v>460</v>
      </c>
      <c r="C463" s="14" t="s">
        <v>32</v>
      </c>
      <c r="D463" s="14" t="s">
        <v>15</v>
      </c>
      <c r="E463" s="14">
        <v>4</v>
      </c>
      <c r="F463" s="14">
        <v>87</v>
      </c>
      <c r="G463" s="14">
        <v>83</v>
      </c>
      <c r="H463" s="14">
        <v>81</v>
      </c>
      <c r="I463" s="14">
        <v>85</v>
      </c>
      <c r="J463" s="14" t="s">
        <v>13</v>
      </c>
      <c r="K463" s="14">
        <v>6</v>
      </c>
      <c r="L463" s="14">
        <v>3</v>
      </c>
      <c r="M463" s="15">
        <f t="shared" si="63"/>
        <v>249</v>
      </c>
      <c r="N463" s="15">
        <f t="shared" si="64"/>
        <v>83</v>
      </c>
      <c r="O463" s="14" t="str">
        <f t="shared" si="65"/>
        <v>Excellent</v>
      </c>
      <c r="P463" s="15">
        <f t="shared" si="66"/>
        <v>20.75</v>
      </c>
      <c r="Q463" s="14" t="str">
        <f t="shared" si="67"/>
        <v>No</v>
      </c>
      <c r="R463" s="14" t="str">
        <f t="shared" si="68"/>
        <v>Normal Students</v>
      </c>
      <c r="S463" s="14" t="str">
        <f t="shared" si="69"/>
        <v>Balanced Student</v>
      </c>
      <c r="T463" s="14" t="str">
        <f t="shared" si="70"/>
        <v>High</v>
      </c>
      <c r="U463" s="21" t="str">
        <f t="shared" si="71"/>
        <v>A</v>
      </c>
    </row>
    <row r="464" spans="2:21">
      <c r="B464" s="20">
        <v>461</v>
      </c>
      <c r="C464" s="14" t="s">
        <v>35</v>
      </c>
      <c r="D464" s="14" t="s">
        <v>12</v>
      </c>
      <c r="E464" s="14">
        <v>2</v>
      </c>
      <c r="F464" s="14">
        <v>68</v>
      </c>
      <c r="G464" s="14">
        <v>60</v>
      </c>
      <c r="H464" s="14">
        <v>58</v>
      </c>
      <c r="I464" s="14">
        <v>64</v>
      </c>
      <c r="J464" s="14" t="s">
        <v>16</v>
      </c>
      <c r="K464" s="14">
        <v>8</v>
      </c>
      <c r="L464" s="14">
        <v>5</v>
      </c>
      <c r="M464" s="15">
        <f t="shared" si="63"/>
        <v>182</v>
      </c>
      <c r="N464" s="15">
        <f t="shared" si="64"/>
        <v>60.666666666666664</v>
      </c>
      <c r="O464" s="14" t="str">
        <f t="shared" si="65"/>
        <v>Good</v>
      </c>
      <c r="P464" s="15">
        <f t="shared" si="66"/>
        <v>30.333333333333332</v>
      </c>
      <c r="Q464" s="14" t="str">
        <f t="shared" si="67"/>
        <v>No</v>
      </c>
      <c r="R464" s="14" t="str">
        <f t="shared" si="68"/>
        <v>Normal Students</v>
      </c>
      <c r="S464" s="14" t="str">
        <f t="shared" si="69"/>
        <v>Unbalanced Student</v>
      </c>
      <c r="T464" s="14" t="str">
        <f t="shared" si="70"/>
        <v>Medium</v>
      </c>
      <c r="U464" s="21" t="str">
        <f t="shared" si="71"/>
        <v>C</v>
      </c>
    </row>
    <row r="465" spans="2:21">
      <c r="B465" s="20">
        <v>462</v>
      </c>
      <c r="C465" s="14" t="s">
        <v>64</v>
      </c>
      <c r="D465" s="14" t="s">
        <v>15</v>
      </c>
      <c r="E465" s="14">
        <v>5</v>
      </c>
      <c r="F465" s="14">
        <v>92</v>
      </c>
      <c r="G465" s="14">
        <v>88</v>
      </c>
      <c r="H465" s="14">
        <v>90</v>
      </c>
      <c r="I465" s="14">
        <v>91</v>
      </c>
      <c r="J465" s="14" t="s">
        <v>13</v>
      </c>
      <c r="K465" s="14">
        <v>6</v>
      </c>
      <c r="L465" s="14">
        <v>2</v>
      </c>
      <c r="M465" s="15">
        <f t="shared" si="63"/>
        <v>269</v>
      </c>
      <c r="N465" s="15">
        <f t="shared" si="64"/>
        <v>89.666666666666671</v>
      </c>
      <c r="O465" s="14" t="str">
        <f t="shared" si="65"/>
        <v>Excellent</v>
      </c>
      <c r="P465" s="15">
        <f t="shared" si="66"/>
        <v>17.933333333333334</v>
      </c>
      <c r="Q465" s="14" t="str">
        <f t="shared" si="67"/>
        <v>No</v>
      </c>
      <c r="R465" s="14" t="str">
        <f t="shared" si="68"/>
        <v>Normal Students</v>
      </c>
      <c r="S465" s="14" t="str">
        <f t="shared" si="69"/>
        <v>Balanced Student</v>
      </c>
      <c r="T465" s="14" t="str">
        <f t="shared" si="70"/>
        <v>High</v>
      </c>
      <c r="U465" s="21" t="str">
        <f t="shared" si="71"/>
        <v>A</v>
      </c>
    </row>
    <row r="466" spans="2:21">
      <c r="B466" s="20">
        <v>463</v>
      </c>
      <c r="C466" s="14" t="s">
        <v>49</v>
      </c>
      <c r="D466" s="14" t="s">
        <v>12</v>
      </c>
      <c r="E466" s="14">
        <v>3</v>
      </c>
      <c r="F466" s="14">
        <v>78</v>
      </c>
      <c r="G466" s="14">
        <v>72</v>
      </c>
      <c r="H466" s="14">
        <v>70</v>
      </c>
      <c r="I466" s="14">
        <v>75</v>
      </c>
      <c r="J466" s="14" t="s">
        <v>13</v>
      </c>
      <c r="K466" s="14">
        <v>7</v>
      </c>
      <c r="L466" s="14">
        <v>4</v>
      </c>
      <c r="M466" s="15">
        <f t="shared" si="63"/>
        <v>217</v>
      </c>
      <c r="N466" s="15">
        <f t="shared" si="64"/>
        <v>72.333333333333329</v>
      </c>
      <c r="O466" s="14" t="str">
        <f t="shared" si="65"/>
        <v>Good</v>
      </c>
      <c r="P466" s="15">
        <f t="shared" si="66"/>
        <v>24.111111111111111</v>
      </c>
      <c r="Q466" s="14" t="str">
        <f t="shared" si="67"/>
        <v>No</v>
      </c>
      <c r="R466" s="14" t="str">
        <f t="shared" si="68"/>
        <v>Normal Students</v>
      </c>
      <c r="S466" s="14" t="str">
        <f t="shared" si="69"/>
        <v>Unbalanced Student</v>
      </c>
      <c r="T466" s="14" t="str">
        <f t="shared" si="70"/>
        <v>Medium</v>
      </c>
      <c r="U466" s="21" t="str">
        <f t="shared" si="71"/>
        <v>B</v>
      </c>
    </row>
    <row r="467" spans="2:21">
      <c r="B467" s="20">
        <v>464</v>
      </c>
      <c r="C467" s="14" t="s">
        <v>38</v>
      </c>
      <c r="D467" s="14" t="s">
        <v>15</v>
      </c>
      <c r="E467" s="14">
        <v>4</v>
      </c>
      <c r="F467" s="14">
        <v>85</v>
      </c>
      <c r="G467" s="14">
        <v>80</v>
      </c>
      <c r="H467" s="14">
        <v>82</v>
      </c>
      <c r="I467" s="14">
        <v>84</v>
      </c>
      <c r="J467" s="14" t="s">
        <v>13</v>
      </c>
      <c r="K467" s="14">
        <v>7</v>
      </c>
      <c r="L467" s="14">
        <v>3</v>
      </c>
      <c r="M467" s="15">
        <f t="shared" si="63"/>
        <v>246</v>
      </c>
      <c r="N467" s="15">
        <f t="shared" si="64"/>
        <v>82</v>
      </c>
      <c r="O467" s="14" t="str">
        <f t="shared" si="65"/>
        <v>Excellent</v>
      </c>
      <c r="P467" s="15">
        <f t="shared" si="66"/>
        <v>20.5</v>
      </c>
      <c r="Q467" s="14" t="str">
        <f t="shared" si="67"/>
        <v>No</v>
      </c>
      <c r="R467" s="14" t="str">
        <f t="shared" si="68"/>
        <v>Normal Students</v>
      </c>
      <c r="S467" s="14" t="str">
        <f t="shared" si="69"/>
        <v>Balanced Student</v>
      </c>
      <c r="T467" s="14" t="str">
        <f t="shared" si="70"/>
        <v>High</v>
      </c>
      <c r="U467" s="21" t="str">
        <f t="shared" si="71"/>
        <v>A</v>
      </c>
    </row>
    <row r="468" spans="2:21">
      <c r="B468" s="20">
        <v>465</v>
      </c>
      <c r="C468" s="14" t="s">
        <v>164</v>
      </c>
      <c r="D468" s="14" t="s">
        <v>12</v>
      </c>
      <c r="E468" s="14">
        <v>6</v>
      </c>
      <c r="F468" s="14">
        <v>94</v>
      </c>
      <c r="G468" s="14">
        <v>91</v>
      </c>
      <c r="H468" s="14">
        <v>90</v>
      </c>
      <c r="I468" s="14">
        <v>92</v>
      </c>
      <c r="J468" s="14" t="s">
        <v>16</v>
      </c>
      <c r="K468" s="14">
        <v>6</v>
      </c>
      <c r="L468" s="14">
        <v>2</v>
      </c>
      <c r="M468" s="15">
        <f t="shared" si="63"/>
        <v>273</v>
      </c>
      <c r="N468" s="15">
        <f t="shared" si="64"/>
        <v>91</v>
      </c>
      <c r="O468" s="14" t="str">
        <f t="shared" si="65"/>
        <v>Excellent</v>
      </c>
      <c r="P468" s="15">
        <f t="shared" si="66"/>
        <v>15.166666666666666</v>
      </c>
      <c r="Q468" s="14" t="str">
        <f t="shared" si="67"/>
        <v>No</v>
      </c>
      <c r="R468" s="14" t="str">
        <f t="shared" si="68"/>
        <v>Normal Students</v>
      </c>
      <c r="S468" s="14" t="str">
        <f t="shared" si="69"/>
        <v>Balanced Student</v>
      </c>
      <c r="T468" s="14" t="str">
        <f t="shared" si="70"/>
        <v>High</v>
      </c>
      <c r="U468" s="21" t="str">
        <f t="shared" si="71"/>
        <v>A</v>
      </c>
    </row>
    <row r="469" spans="2:21">
      <c r="B469" s="20">
        <v>466</v>
      </c>
      <c r="C469" s="14" t="s">
        <v>36</v>
      </c>
      <c r="D469" s="14" t="s">
        <v>15</v>
      </c>
      <c r="E469" s="14">
        <v>3</v>
      </c>
      <c r="F469" s="14">
        <v>79</v>
      </c>
      <c r="G469" s="14">
        <v>74</v>
      </c>
      <c r="H469" s="14">
        <v>72</v>
      </c>
      <c r="I469" s="14">
        <v>76</v>
      </c>
      <c r="J469" s="14" t="s">
        <v>13</v>
      </c>
      <c r="K469" s="14">
        <v>7</v>
      </c>
      <c r="L469" s="14">
        <v>4</v>
      </c>
      <c r="M469" s="15">
        <f t="shared" si="63"/>
        <v>222</v>
      </c>
      <c r="N469" s="15">
        <f t="shared" si="64"/>
        <v>74</v>
      </c>
      <c r="O469" s="14" t="str">
        <f t="shared" si="65"/>
        <v>Good</v>
      </c>
      <c r="P469" s="15">
        <f t="shared" si="66"/>
        <v>24.666666666666668</v>
      </c>
      <c r="Q469" s="14" t="str">
        <f t="shared" si="67"/>
        <v>No</v>
      </c>
      <c r="R469" s="14" t="str">
        <f t="shared" si="68"/>
        <v>Normal Students</v>
      </c>
      <c r="S469" s="14" t="str">
        <f t="shared" si="69"/>
        <v>Unbalanced Student</v>
      </c>
      <c r="T469" s="14" t="str">
        <f t="shared" si="70"/>
        <v>Medium</v>
      </c>
      <c r="U469" s="21" t="str">
        <f t="shared" si="71"/>
        <v>B</v>
      </c>
    </row>
    <row r="470" spans="2:21">
      <c r="B470" s="20">
        <v>467</v>
      </c>
      <c r="C470" s="14" t="s">
        <v>23</v>
      </c>
      <c r="D470" s="14" t="s">
        <v>12</v>
      </c>
      <c r="E470" s="14">
        <v>2</v>
      </c>
      <c r="F470" s="14">
        <v>70</v>
      </c>
      <c r="G470" s="14">
        <v>62</v>
      </c>
      <c r="H470" s="14">
        <v>60</v>
      </c>
      <c r="I470" s="14">
        <v>66</v>
      </c>
      <c r="J470" s="14" t="s">
        <v>16</v>
      </c>
      <c r="K470" s="14">
        <v>8</v>
      </c>
      <c r="L470" s="14">
        <v>5</v>
      </c>
      <c r="M470" s="15">
        <f t="shared" si="63"/>
        <v>188</v>
      </c>
      <c r="N470" s="15">
        <f t="shared" si="64"/>
        <v>62.666666666666664</v>
      </c>
      <c r="O470" s="14" t="str">
        <f t="shared" si="65"/>
        <v>Good</v>
      </c>
      <c r="P470" s="15">
        <f t="shared" si="66"/>
        <v>31.333333333333332</v>
      </c>
      <c r="Q470" s="14" t="str">
        <f t="shared" si="67"/>
        <v>No</v>
      </c>
      <c r="R470" s="14" t="str">
        <f t="shared" si="68"/>
        <v>Normal Students</v>
      </c>
      <c r="S470" s="14" t="str">
        <f t="shared" si="69"/>
        <v>Unbalanced Student</v>
      </c>
      <c r="T470" s="14" t="str">
        <f t="shared" si="70"/>
        <v>Medium</v>
      </c>
      <c r="U470" s="21" t="str">
        <f t="shared" si="71"/>
        <v>C</v>
      </c>
    </row>
    <row r="471" spans="2:21">
      <c r="B471" s="20">
        <v>468</v>
      </c>
      <c r="C471" s="14" t="s">
        <v>58</v>
      </c>
      <c r="D471" s="14" t="s">
        <v>15</v>
      </c>
      <c r="E471" s="14">
        <v>5</v>
      </c>
      <c r="F471" s="14">
        <v>90</v>
      </c>
      <c r="G471" s="14">
        <v>86</v>
      </c>
      <c r="H471" s="14">
        <v>88</v>
      </c>
      <c r="I471" s="14">
        <v>89</v>
      </c>
      <c r="J471" s="14" t="s">
        <v>13</v>
      </c>
      <c r="K471" s="14">
        <v>6</v>
      </c>
      <c r="L471" s="14">
        <v>2</v>
      </c>
      <c r="M471" s="15">
        <f t="shared" si="63"/>
        <v>263</v>
      </c>
      <c r="N471" s="15">
        <f t="shared" si="64"/>
        <v>87.666666666666671</v>
      </c>
      <c r="O471" s="14" t="str">
        <f t="shared" si="65"/>
        <v>Excellent</v>
      </c>
      <c r="P471" s="15">
        <f t="shared" si="66"/>
        <v>17.533333333333335</v>
      </c>
      <c r="Q471" s="14" t="str">
        <f t="shared" si="67"/>
        <v>No</v>
      </c>
      <c r="R471" s="14" t="str">
        <f t="shared" si="68"/>
        <v>Normal Students</v>
      </c>
      <c r="S471" s="14" t="str">
        <f t="shared" si="69"/>
        <v>Balanced Student</v>
      </c>
      <c r="T471" s="14" t="str">
        <f t="shared" si="70"/>
        <v>High</v>
      </c>
      <c r="U471" s="21" t="str">
        <f t="shared" si="71"/>
        <v>A</v>
      </c>
    </row>
    <row r="472" spans="2:21">
      <c r="B472" s="20">
        <v>469</v>
      </c>
      <c r="C472" s="14" t="s">
        <v>59</v>
      </c>
      <c r="D472" s="14" t="s">
        <v>12</v>
      </c>
      <c r="E472" s="14">
        <v>3</v>
      </c>
      <c r="F472" s="14">
        <v>82</v>
      </c>
      <c r="G472" s="14">
        <v>76</v>
      </c>
      <c r="H472" s="14">
        <v>75</v>
      </c>
      <c r="I472" s="14">
        <v>80</v>
      </c>
      <c r="J472" s="14" t="s">
        <v>16</v>
      </c>
      <c r="K472" s="14">
        <v>7</v>
      </c>
      <c r="L472" s="14">
        <v>4</v>
      </c>
      <c r="M472" s="15">
        <f t="shared" si="63"/>
        <v>231</v>
      </c>
      <c r="N472" s="15">
        <f t="shared" si="64"/>
        <v>77</v>
      </c>
      <c r="O472" s="14" t="str">
        <f t="shared" si="65"/>
        <v>Good</v>
      </c>
      <c r="P472" s="15">
        <f t="shared" si="66"/>
        <v>25.666666666666668</v>
      </c>
      <c r="Q472" s="14" t="str">
        <f t="shared" si="67"/>
        <v>No</v>
      </c>
      <c r="R472" s="14" t="str">
        <f t="shared" si="68"/>
        <v>Normal Students</v>
      </c>
      <c r="S472" s="14" t="str">
        <f t="shared" si="69"/>
        <v>Unbalanced Student</v>
      </c>
      <c r="T472" s="14" t="str">
        <f t="shared" si="70"/>
        <v>High</v>
      </c>
      <c r="U472" s="21" t="str">
        <f t="shared" si="71"/>
        <v>B</v>
      </c>
    </row>
    <row r="473" spans="2:21">
      <c r="B473" s="20">
        <v>470</v>
      </c>
      <c r="C473" s="14" t="s">
        <v>155</v>
      </c>
      <c r="D473" s="14" t="s">
        <v>15</v>
      </c>
      <c r="E473" s="14">
        <v>4</v>
      </c>
      <c r="F473" s="14">
        <v>87</v>
      </c>
      <c r="G473" s="14">
        <v>83</v>
      </c>
      <c r="H473" s="14">
        <v>81</v>
      </c>
      <c r="I473" s="14">
        <v>85</v>
      </c>
      <c r="J473" s="14" t="s">
        <v>13</v>
      </c>
      <c r="K473" s="14">
        <v>6</v>
      </c>
      <c r="L473" s="14">
        <v>3</v>
      </c>
      <c r="M473" s="15">
        <f t="shared" si="63"/>
        <v>249</v>
      </c>
      <c r="N473" s="15">
        <f t="shared" si="64"/>
        <v>83</v>
      </c>
      <c r="O473" s="14" t="str">
        <f t="shared" si="65"/>
        <v>Excellent</v>
      </c>
      <c r="P473" s="15">
        <f t="shared" si="66"/>
        <v>20.75</v>
      </c>
      <c r="Q473" s="14" t="str">
        <f t="shared" si="67"/>
        <v>No</v>
      </c>
      <c r="R473" s="14" t="str">
        <f t="shared" si="68"/>
        <v>Normal Students</v>
      </c>
      <c r="S473" s="14" t="str">
        <f t="shared" si="69"/>
        <v>Balanced Student</v>
      </c>
      <c r="T473" s="14" t="str">
        <f t="shared" si="70"/>
        <v>High</v>
      </c>
      <c r="U473" s="21" t="str">
        <f t="shared" si="71"/>
        <v>A</v>
      </c>
    </row>
    <row r="474" spans="2:21">
      <c r="B474" s="20">
        <v>471</v>
      </c>
      <c r="C474" s="14" t="s">
        <v>45</v>
      </c>
      <c r="D474" s="14" t="s">
        <v>12</v>
      </c>
      <c r="E474" s="14">
        <v>2</v>
      </c>
      <c r="F474" s="14">
        <v>68</v>
      </c>
      <c r="G474" s="14">
        <v>60</v>
      </c>
      <c r="H474" s="14">
        <v>58</v>
      </c>
      <c r="I474" s="14">
        <v>64</v>
      </c>
      <c r="J474" s="14" t="s">
        <v>16</v>
      </c>
      <c r="K474" s="14">
        <v>8</v>
      </c>
      <c r="L474" s="14">
        <v>5</v>
      </c>
      <c r="M474" s="15">
        <f t="shared" si="63"/>
        <v>182</v>
      </c>
      <c r="N474" s="15">
        <f t="shared" si="64"/>
        <v>60.666666666666664</v>
      </c>
      <c r="O474" s="14" t="str">
        <f t="shared" si="65"/>
        <v>Good</v>
      </c>
      <c r="P474" s="15">
        <f t="shared" si="66"/>
        <v>30.333333333333332</v>
      </c>
      <c r="Q474" s="14" t="str">
        <f t="shared" si="67"/>
        <v>No</v>
      </c>
      <c r="R474" s="14" t="str">
        <f t="shared" si="68"/>
        <v>Normal Students</v>
      </c>
      <c r="S474" s="14" t="str">
        <f t="shared" si="69"/>
        <v>Unbalanced Student</v>
      </c>
      <c r="T474" s="14" t="str">
        <f t="shared" si="70"/>
        <v>Medium</v>
      </c>
      <c r="U474" s="21" t="str">
        <f t="shared" si="71"/>
        <v>C</v>
      </c>
    </row>
    <row r="475" spans="2:21">
      <c r="B475" s="20">
        <v>472</v>
      </c>
      <c r="C475" s="14" t="s">
        <v>40</v>
      </c>
      <c r="D475" s="14" t="s">
        <v>15</v>
      </c>
      <c r="E475" s="14">
        <v>5</v>
      </c>
      <c r="F475" s="14">
        <v>92</v>
      </c>
      <c r="G475" s="14">
        <v>88</v>
      </c>
      <c r="H475" s="14">
        <v>90</v>
      </c>
      <c r="I475" s="14">
        <v>91</v>
      </c>
      <c r="J475" s="14" t="s">
        <v>13</v>
      </c>
      <c r="K475" s="14">
        <v>6</v>
      </c>
      <c r="L475" s="14">
        <v>2</v>
      </c>
      <c r="M475" s="15">
        <f t="shared" si="63"/>
        <v>269</v>
      </c>
      <c r="N475" s="15">
        <f t="shared" si="64"/>
        <v>89.666666666666671</v>
      </c>
      <c r="O475" s="14" t="str">
        <f t="shared" si="65"/>
        <v>Excellent</v>
      </c>
      <c r="P475" s="15">
        <f t="shared" si="66"/>
        <v>17.933333333333334</v>
      </c>
      <c r="Q475" s="14" t="str">
        <f t="shared" si="67"/>
        <v>No</v>
      </c>
      <c r="R475" s="14" t="str">
        <f t="shared" si="68"/>
        <v>Normal Students</v>
      </c>
      <c r="S475" s="14" t="str">
        <f t="shared" si="69"/>
        <v>Balanced Student</v>
      </c>
      <c r="T475" s="14" t="str">
        <f t="shared" si="70"/>
        <v>High</v>
      </c>
      <c r="U475" s="21" t="str">
        <f t="shared" si="71"/>
        <v>A</v>
      </c>
    </row>
    <row r="476" spans="2:21">
      <c r="B476" s="20">
        <v>473</v>
      </c>
      <c r="C476" s="14" t="s">
        <v>63</v>
      </c>
      <c r="D476" s="14" t="s">
        <v>12</v>
      </c>
      <c r="E476" s="14">
        <v>3</v>
      </c>
      <c r="F476" s="14">
        <v>78</v>
      </c>
      <c r="G476" s="14">
        <v>72</v>
      </c>
      <c r="H476" s="14">
        <v>70</v>
      </c>
      <c r="I476" s="14">
        <v>75</v>
      </c>
      <c r="J476" s="14" t="s">
        <v>13</v>
      </c>
      <c r="K476" s="14">
        <v>7</v>
      </c>
      <c r="L476" s="14">
        <v>4</v>
      </c>
      <c r="M476" s="15">
        <f t="shared" si="63"/>
        <v>217</v>
      </c>
      <c r="N476" s="15">
        <f t="shared" si="64"/>
        <v>72.333333333333329</v>
      </c>
      <c r="O476" s="14" t="str">
        <f t="shared" si="65"/>
        <v>Good</v>
      </c>
      <c r="P476" s="15">
        <f t="shared" si="66"/>
        <v>24.111111111111111</v>
      </c>
      <c r="Q476" s="14" t="str">
        <f t="shared" si="67"/>
        <v>No</v>
      </c>
      <c r="R476" s="14" t="str">
        <f t="shared" si="68"/>
        <v>Normal Students</v>
      </c>
      <c r="S476" s="14" t="str">
        <f t="shared" si="69"/>
        <v>Unbalanced Student</v>
      </c>
      <c r="T476" s="14" t="str">
        <f t="shared" si="70"/>
        <v>Medium</v>
      </c>
      <c r="U476" s="21" t="str">
        <f t="shared" si="71"/>
        <v>B</v>
      </c>
    </row>
    <row r="477" spans="2:21">
      <c r="B477" s="20">
        <v>474</v>
      </c>
      <c r="C477" s="14" t="s">
        <v>72</v>
      </c>
      <c r="D477" s="14" t="s">
        <v>12</v>
      </c>
      <c r="E477" s="14">
        <v>4</v>
      </c>
      <c r="F477" s="14">
        <v>85</v>
      </c>
      <c r="G477" s="14">
        <v>80</v>
      </c>
      <c r="H477" s="14">
        <v>82</v>
      </c>
      <c r="I477" s="14">
        <v>84</v>
      </c>
      <c r="J477" s="14" t="s">
        <v>13</v>
      </c>
      <c r="K477" s="14">
        <v>7</v>
      </c>
      <c r="L477" s="14">
        <v>3</v>
      </c>
      <c r="M477" s="15">
        <f t="shared" si="63"/>
        <v>246</v>
      </c>
      <c r="N477" s="15">
        <f t="shared" si="64"/>
        <v>82</v>
      </c>
      <c r="O477" s="14" t="str">
        <f t="shared" si="65"/>
        <v>Excellent</v>
      </c>
      <c r="P477" s="15">
        <f t="shared" si="66"/>
        <v>20.5</v>
      </c>
      <c r="Q477" s="14" t="str">
        <f t="shared" si="67"/>
        <v>No</v>
      </c>
      <c r="R477" s="14" t="str">
        <f t="shared" si="68"/>
        <v>Normal Students</v>
      </c>
      <c r="S477" s="14" t="str">
        <f t="shared" si="69"/>
        <v>Balanced Student</v>
      </c>
      <c r="T477" s="14" t="str">
        <f t="shared" si="70"/>
        <v>High</v>
      </c>
      <c r="U477" s="21" t="str">
        <f t="shared" si="71"/>
        <v>A</v>
      </c>
    </row>
    <row r="478" spans="2:21">
      <c r="B478" s="20">
        <v>475</v>
      </c>
      <c r="C478" s="14" t="s">
        <v>30</v>
      </c>
      <c r="D478" s="14" t="s">
        <v>15</v>
      </c>
      <c r="E478" s="14">
        <v>6</v>
      </c>
      <c r="F478" s="14">
        <v>94</v>
      </c>
      <c r="G478" s="14">
        <v>91</v>
      </c>
      <c r="H478" s="14">
        <v>90</v>
      </c>
      <c r="I478" s="14">
        <v>92</v>
      </c>
      <c r="J478" s="14" t="s">
        <v>16</v>
      </c>
      <c r="K478" s="14">
        <v>6</v>
      </c>
      <c r="L478" s="14">
        <v>2</v>
      </c>
      <c r="M478" s="15">
        <f t="shared" si="63"/>
        <v>273</v>
      </c>
      <c r="N478" s="15">
        <f t="shared" si="64"/>
        <v>91</v>
      </c>
      <c r="O478" s="14" t="str">
        <f t="shared" si="65"/>
        <v>Excellent</v>
      </c>
      <c r="P478" s="15">
        <f t="shared" si="66"/>
        <v>15.166666666666666</v>
      </c>
      <c r="Q478" s="14" t="str">
        <f t="shared" si="67"/>
        <v>No</v>
      </c>
      <c r="R478" s="14" t="str">
        <f t="shared" si="68"/>
        <v>Normal Students</v>
      </c>
      <c r="S478" s="14" t="str">
        <f t="shared" si="69"/>
        <v>Balanced Student</v>
      </c>
      <c r="T478" s="14" t="str">
        <f t="shared" si="70"/>
        <v>High</v>
      </c>
      <c r="U478" s="21" t="str">
        <f t="shared" si="71"/>
        <v>A</v>
      </c>
    </row>
    <row r="479" spans="2:21">
      <c r="B479" s="20">
        <v>476</v>
      </c>
      <c r="C479" s="14" t="s">
        <v>85</v>
      </c>
      <c r="D479" s="14" t="s">
        <v>12</v>
      </c>
      <c r="E479" s="14">
        <v>2</v>
      </c>
      <c r="F479" s="14">
        <v>70</v>
      </c>
      <c r="G479" s="14">
        <v>62</v>
      </c>
      <c r="H479" s="14">
        <v>60</v>
      </c>
      <c r="I479" s="14">
        <v>66</v>
      </c>
      <c r="J479" s="14" t="s">
        <v>16</v>
      </c>
      <c r="K479" s="14">
        <v>8</v>
      </c>
      <c r="L479" s="14">
        <v>5</v>
      </c>
      <c r="M479" s="15">
        <f t="shared" si="63"/>
        <v>188</v>
      </c>
      <c r="N479" s="15">
        <f t="shared" si="64"/>
        <v>62.666666666666664</v>
      </c>
      <c r="O479" s="14" t="str">
        <f t="shared" si="65"/>
        <v>Good</v>
      </c>
      <c r="P479" s="15">
        <f t="shared" si="66"/>
        <v>31.333333333333332</v>
      </c>
      <c r="Q479" s="14" t="str">
        <f t="shared" si="67"/>
        <v>No</v>
      </c>
      <c r="R479" s="14" t="str">
        <f t="shared" si="68"/>
        <v>Normal Students</v>
      </c>
      <c r="S479" s="14" t="str">
        <f t="shared" si="69"/>
        <v>Unbalanced Student</v>
      </c>
      <c r="T479" s="14" t="str">
        <f t="shared" si="70"/>
        <v>Medium</v>
      </c>
      <c r="U479" s="21" t="str">
        <f t="shared" si="71"/>
        <v>C</v>
      </c>
    </row>
    <row r="480" spans="2:21">
      <c r="B480" s="20">
        <v>477</v>
      </c>
      <c r="C480" s="14" t="s">
        <v>144</v>
      </c>
      <c r="D480" s="14" t="s">
        <v>15</v>
      </c>
      <c r="E480" s="14">
        <v>5</v>
      </c>
      <c r="F480" s="14">
        <v>90</v>
      </c>
      <c r="G480" s="14">
        <v>86</v>
      </c>
      <c r="H480" s="14">
        <v>88</v>
      </c>
      <c r="I480" s="14">
        <v>89</v>
      </c>
      <c r="J480" s="14" t="s">
        <v>13</v>
      </c>
      <c r="K480" s="14">
        <v>6</v>
      </c>
      <c r="L480" s="14">
        <v>2</v>
      </c>
      <c r="M480" s="15">
        <f t="shared" si="63"/>
        <v>263</v>
      </c>
      <c r="N480" s="15">
        <f t="shared" si="64"/>
        <v>87.666666666666671</v>
      </c>
      <c r="O480" s="14" t="str">
        <f t="shared" si="65"/>
        <v>Excellent</v>
      </c>
      <c r="P480" s="15">
        <f t="shared" si="66"/>
        <v>17.533333333333335</v>
      </c>
      <c r="Q480" s="14" t="str">
        <f t="shared" si="67"/>
        <v>No</v>
      </c>
      <c r="R480" s="14" t="str">
        <f t="shared" si="68"/>
        <v>Normal Students</v>
      </c>
      <c r="S480" s="14" t="str">
        <f t="shared" si="69"/>
        <v>Balanced Student</v>
      </c>
      <c r="T480" s="14" t="str">
        <f t="shared" si="70"/>
        <v>High</v>
      </c>
      <c r="U480" s="21" t="str">
        <f t="shared" si="71"/>
        <v>A</v>
      </c>
    </row>
    <row r="481" spans="2:21">
      <c r="B481" s="20">
        <v>478</v>
      </c>
      <c r="C481" s="14" t="s">
        <v>147</v>
      </c>
      <c r="D481" s="14" t="s">
        <v>12</v>
      </c>
      <c r="E481" s="14">
        <v>3</v>
      </c>
      <c r="F481" s="14">
        <v>82</v>
      </c>
      <c r="G481" s="14">
        <v>76</v>
      </c>
      <c r="H481" s="14">
        <v>75</v>
      </c>
      <c r="I481" s="14">
        <v>80</v>
      </c>
      <c r="J481" s="14" t="s">
        <v>16</v>
      </c>
      <c r="K481" s="14">
        <v>7</v>
      </c>
      <c r="L481" s="14">
        <v>4</v>
      </c>
      <c r="M481" s="15">
        <f t="shared" si="63"/>
        <v>231</v>
      </c>
      <c r="N481" s="15">
        <f t="shared" si="64"/>
        <v>77</v>
      </c>
      <c r="O481" s="14" t="str">
        <f t="shared" si="65"/>
        <v>Good</v>
      </c>
      <c r="P481" s="15">
        <f t="shared" si="66"/>
        <v>25.666666666666668</v>
      </c>
      <c r="Q481" s="14" t="str">
        <f t="shared" si="67"/>
        <v>No</v>
      </c>
      <c r="R481" s="14" t="str">
        <f t="shared" si="68"/>
        <v>Normal Students</v>
      </c>
      <c r="S481" s="14" t="str">
        <f t="shared" si="69"/>
        <v>Unbalanced Student</v>
      </c>
      <c r="T481" s="14" t="str">
        <f t="shared" si="70"/>
        <v>High</v>
      </c>
      <c r="U481" s="21" t="str">
        <f t="shared" si="71"/>
        <v>B</v>
      </c>
    </row>
    <row r="482" spans="2:21">
      <c r="B482" s="20">
        <v>479</v>
      </c>
      <c r="C482" s="14" t="s">
        <v>40</v>
      </c>
      <c r="D482" s="14" t="s">
        <v>15</v>
      </c>
      <c r="E482" s="14">
        <v>4</v>
      </c>
      <c r="F482" s="14">
        <v>87</v>
      </c>
      <c r="G482" s="14">
        <v>83</v>
      </c>
      <c r="H482" s="14">
        <v>81</v>
      </c>
      <c r="I482" s="14">
        <v>85</v>
      </c>
      <c r="J482" s="14" t="s">
        <v>13</v>
      </c>
      <c r="K482" s="14">
        <v>6</v>
      </c>
      <c r="L482" s="14">
        <v>3</v>
      </c>
      <c r="M482" s="15">
        <f t="shared" si="63"/>
        <v>249</v>
      </c>
      <c r="N482" s="15">
        <f t="shared" si="64"/>
        <v>83</v>
      </c>
      <c r="O482" s="14" t="str">
        <f t="shared" si="65"/>
        <v>Excellent</v>
      </c>
      <c r="P482" s="15">
        <f t="shared" si="66"/>
        <v>20.75</v>
      </c>
      <c r="Q482" s="14" t="str">
        <f t="shared" si="67"/>
        <v>No</v>
      </c>
      <c r="R482" s="14" t="str">
        <f t="shared" si="68"/>
        <v>Normal Students</v>
      </c>
      <c r="S482" s="14" t="str">
        <f t="shared" si="69"/>
        <v>Balanced Student</v>
      </c>
      <c r="T482" s="14" t="str">
        <f t="shared" si="70"/>
        <v>High</v>
      </c>
      <c r="U482" s="21" t="str">
        <f t="shared" si="71"/>
        <v>A</v>
      </c>
    </row>
    <row r="483" spans="2:21">
      <c r="B483" s="20">
        <v>480</v>
      </c>
      <c r="C483" s="14" t="s">
        <v>91</v>
      </c>
      <c r="D483" s="14" t="s">
        <v>15</v>
      </c>
      <c r="E483" s="14">
        <v>2</v>
      </c>
      <c r="F483" s="14">
        <v>68</v>
      </c>
      <c r="G483" s="14">
        <v>60</v>
      </c>
      <c r="H483" s="14">
        <v>58</v>
      </c>
      <c r="I483" s="14">
        <v>64</v>
      </c>
      <c r="J483" s="14" t="s">
        <v>16</v>
      </c>
      <c r="K483" s="14">
        <v>8</v>
      </c>
      <c r="L483" s="14">
        <v>5</v>
      </c>
      <c r="M483" s="15">
        <f t="shared" si="63"/>
        <v>182</v>
      </c>
      <c r="N483" s="15">
        <f t="shared" si="64"/>
        <v>60.666666666666664</v>
      </c>
      <c r="O483" s="14" t="str">
        <f t="shared" si="65"/>
        <v>Good</v>
      </c>
      <c r="P483" s="15">
        <f t="shared" si="66"/>
        <v>30.333333333333332</v>
      </c>
      <c r="Q483" s="14" t="str">
        <f t="shared" si="67"/>
        <v>No</v>
      </c>
      <c r="R483" s="14" t="str">
        <f t="shared" si="68"/>
        <v>Normal Students</v>
      </c>
      <c r="S483" s="14" t="str">
        <f t="shared" si="69"/>
        <v>Unbalanced Student</v>
      </c>
      <c r="T483" s="14" t="str">
        <f t="shared" si="70"/>
        <v>Medium</v>
      </c>
      <c r="U483" s="21" t="str">
        <f t="shared" si="71"/>
        <v>C</v>
      </c>
    </row>
    <row r="484" spans="2:21">
      <c r="B484" s="20">
        <v>481</v>
      </c>
      <c r="C484" s="14" t="s">
        <v>55</v>
      </c>
      <c r="D484" s="14" t="s">
        <v>12</v>
      </c>
      <c r="E484" s="14">
        <v>5</v>
      </c>
      <c r="F484" s="14">
        <v>92</v>
      </c>
      <c r="G484" s="14">
        <v>88</v>
      </c>
      <c r="H484" s="14">
        <v>90</v>
      </c>
      <c r="I484" s="14">
        <v>91</v>
      </c>
      <c r="J484" s="14" t="s">
        <v>13</v>
      </c>
      <c r="K484" s="14">
        <v>6</v>
      </c>
      <c r="L484" s="14">
        <v>2</v>
      </c>
      <c r="M484" s="15">
        <f t="shared" si="63"/>
        <v>269</v>
      </c>
      <c r="N484" s="15">
        <f t="shared" si="64"/>
        <v>89.666666666666671</v>
      </c>
      <c r="O484" s="14" t="str">
        <f t="shared" si="65"/>
        <v>Excellent</v>
      </c>
      <c r="P484" s="15">
        <f t="shared" si="66"/>
        <v>17.933333333333334</v>
      </c>
      <c r="Q484" s="14" t="str">
        <f t="shared" si="67"/>
        <v>No</v>
      </c>
      <c r="R484" s="14" t="str">
        <f t="shared" si="68"/>
        <v>Normal Students</v>
      </c>
      <c r="S484" s="14" t="str">
        <f t="shared" si="69"/>
        <v>Balanced Student</v>
      </c>
      <c r="T484" s="14" t="str">
        <f t="shared" si="70"/>
        <v>High</v>
      </c>
      <c r="U484" s="21" t="str">
        <f t="shared" si="71"/>
        <v>A</v>
      </c>
    </row>
    <row r="485" spans="2:21">
      <c r="B485" s="20">
        <v>482</v>
      </c>
      <c r="C485" s="14" t="s">
        <v>57</v>
      </c>
      <c r="D485" s="14" t="s">
        <v>12</v>
      </c>
      <c r="E485" s="14">
        <v>3</v>
      </c>
      <c r="F485" s="14">
        <v>78</v>
      </c>
      <c r="G485" s="14">
        <v>72</v>
      </c>
      <c r="H485" s="14">
        <v>70</v>
      </c>
      <c r="I485" s="14">
        <v>75</v>
      </c>
      <c r="J485" s="14" t="s">
        <v>13</v>
      </c>
      <c r="K485" s="14">
        <v>7</v>
      </c>
      <c r="L485" s="14">
        <v>4</v>
      </c>
      <c r="M485" s="15">
        <f t="shared" si="63"/>
        <v>217</v>
      </c>
      <c r="N485" s="15">
        <f t="shared" si="64"/>
        <v>72.333333333333329</v>
      </c>
      <c r="O485" s="14" t="str">
        <f t="shared" si="65"/>
        <v>Good</v>
      </c>
      <c r="P485" s="15">
        <f t="shared" si="66"/>
        <v>24.111111111111111</v>
      </c>
      <c r="Q485" s="14" t="str">
        <f t="shared" si="67"/>
        <v>No</v>
      </c>
      <c r="R485" s="14" t="str">
        <f t="shared" si="68"/>
        <v>Normal Students</v>
      </c>
      <c r="S485" s="14" t="str">
        <f t="shared" si="69"/>
        <v>Unbalanced Student</v>
      </c>
      <c r="T485" s="14" t="str">
        <f t="shared" si="70"/>
        <v>Medium</v>
      </c>
      <c r="U485" s="21" t="str">
        <f t="shared" si="71"/>
        <v>B</v>
      </c>
    </row>
    <row r="486" spans="2:21">
      <c r="B486" s="20">
        <v>483</v>
      </c>
      <c r="C486" s="14" t="s">
        <v>60</v>
      </c>
      <c r="D486" s="14" t="s">
        <v>15</v>
      </c>
      <c r="E486" s="14">
        <v>4</v>
      </c>
      <c r="F486" s="14">
        <v>85</v>
      </c>
      <c r="G486" s="14">
        <v>80</v>
      </c>
      <c r="H486" s="14">
        <v>82</v>
      </c>
      <c r="I486" s="14">
        <v>84</v>
      </c>
      <c r="J486" s="14" t="s">
        <v>13</v>
      </c>
      <c r="K486" s="14">
        <v>7</v>
      </c>
      <c r="L486" s="14">
        <v>3</v>
      </c>
      <c r="M486" s="15">
        <f t="shared" si="63"/>
        <v>246</v>
      </c>
      <c r="N486" s="15">
        <f t="shared" si="64"/>
        <v>82</v>
      </c>
      <c r="O486" s="14" t="str">
        <f t="shared" si="65"/>
        <v>Excellent</v>
      </c>
      <c r="P486" s="15">
        <f t="shared" si="66"/>
        <v>20.5</v>
      </c>
      <c r="Q486" s="14" t="str">
        <f t="shared" si="67"/>
        <v>No</v>
      </c>
      <c r="R486" s="14" t="str">
        <f t="shared" si="68"/>
        <v>Normal Students</v>
      </c>
      <c r="S486" s="14" t="str">
        <f t="shared" si="69"/>
        <v>Balanced Student</v>
      </c>
      <c r="T486" s="14" t="str">
        <f t="shared" si="70"/>
        <v>High</v>
      </c>
      <c r="U486" s="21" t="str">
        <f t="shared" si="71"/>
        <v>A</v>
      </c>
    </row>
    <row r="487" spans="2:21">
      <c r="B487" s="20">
        <v>484</v>
      </c>
      <c r="C487" s="14" t="s">
        <v>51</v>
      </c>
      <c r="D487" s="14" t="s">
        <v>12</v>
      </c>
      <c r="E487" s="14">
        <v>6</v>
      </c>
      <c r="F487" s="14">
        <v>94</v>
      </c>
      <c r="G487" s="14">
        <v>91</v>
      </c>
      <c r="H487" s="14">
        <v>90</v>
      </c>
      <c r="I487" s="14">
        <v>92</v>
      </c>
      <c r="J487" s="14" t="s">
        <v>16</v>
      </c>
      <c r="K487" s="14">
        <v>6</v>
      </c>
      <c r="L487" s="14">
        <v>2</v>
      </c>
      <c r="M487" s="15">
        <f t="shared" si="63"/>
        <v>273</v>
      </c>
      <c r="N487" s="15">
        <f t="shared" si="64"/>
        <v>91</v>
      </c>
      <c r="O487" s="14" t="str">
        <f t="shared" si="65"/>
        <v>Excellent</v>
      </c>
      <c r="P487" s="15">
        <f t="shared" si="66"/>
        <v>15.166666666666666</v>
      </c>
      <c r="Q487" s="14" t="str">
        <f t="shared" si="67"/>
        <v>No</v>
      </c>
      <c r="R487" s="14" t="str">
        <f t="shared" si="68"/>
        <v>Normal Students</v>
      </c>
      <c r="S487" s="14" t="str">
        <f t="shared" si="69"/>
        <v>Balanced Student</v>
      </c>
      <c r="T487" s="14" t="str">
        <f t="shared" si="70"/>
        <v>High</v>
      </c>
      <c r="U487" s="21" t="str">
        <f t="shared" si="71"/>
        <v>A</v>
      </c>
    </row>
    <row r="488" spans="2:21">
      <c r="B488" s="20">
        <v>485</v>
      </c>
      <c r="C488" s="14" t="s">
        <v>54</v>
      </c>
      <c r="D488" s="14" t="s">
        <v>15</v>
      </c>
      <c r="E488" s="14">
        <v>3</v>
      </c>
      <c r="F488" s="14">
        <v>79</v>
      </c>
      <c r="G488" s="14">
        <v>74</v>
      </c>
      <c r="H488" s="14">
        <v>72</v>
      </c>
      <c r="I488" s="14">
        <v>76</v>
      </c>
      <c r="J488" s="14" t="s">
        <v>13</v>
      </c>
      <c r="K488" s="14">
        <v>7</v>
      </c>
      <c r="L488" s="14">
        <v>4</v>
      </c>
      <c r="M488" s="15">
        <f t="shared" si="63"/>
        <v>222</v>
      </c>
      <c r="N488" s="15">
        <f t="shared" si="64"/>
        <v>74</v>
      </c>
      <c r="O488" s="14" t="str">
        <f t="shared" si="65"/>
        <v>Good</v>
      </c>
      <c r="P488" s="15">
        <f t="shared" si="66"/>
        <v>24.666666666666668</v>
      </c>
      <c r="Q488" s="14" t="str">
        <f t="shared" si="67"/>
        <v>No</v>
      </c>
      <c r="R488" s="14" t="str">
        <f t="shared" si="68"/>
        <v>Normal Students</v>
      </c>
      <c r="S488" s="14" t="str">
        <f t="shared" si="69"/>
        <v>Unbalanced Student</v>
      </c>
      <c r="T488" s="14" t="str">
        <f t="shared" si="70"/>
        <v>Medium</v>
      </c>
      <c r="U488" s="21" t="str">
        <f t="shared" si="71"/>
        <v>B</v>
      </c>
    </row>
    <row r="489" spans="2:21">
      <c r="B489" s="20">
        <v>486</v>
      </c>
      <c r="C489" s="14" t="s">
        <v>19</v>
      </c>
      <c r="D489" s="14" t="s">
        <v>12</v>
      </c>
      <c r="E489" s="14">
        <v>2</v>
      </c>
      <c r="F489" s="14">
        <v>70</v>
      </c>
      <c r="G489" s="14">
        <v>62</v>
      </c>
      <c r="H489" s="14">
        <v>60</v>
      </c>
      <c r="I489" s="14">
        <v>66</v>
      </c>
      <c r="J489" s="14" t="s">
        <v>16</v>
      </c>
      <c r="K489" s="14">
        <v>8</v>
      </c>
      <c r="L489" s="14">
        <v>5</v>
      </c>
      <c r="M489" s="15">
        <f t="shared" si="63"/>
        <v>188</v>
      </c>
      <c r="N489" s="15">
        <f t="shared" si="64"/>
        <v>62.666666666666664</v>
      </c>
      <c r="O489" s="14" t="str">
        <f t="shared" si="65"/>
        <v>Good</v>
      </c>
      <c r="P489" s="15">
        <f t="shared" si="66"/>
        <v>31.333333333333332</v>
      </c>
      <c r="Q489" s="14" t="str">
        <f t="shared" si="67"/>
        <v>No</v>
      </c>
      <c r="R489" s="14" t="str">
        <f t="shared" si="68"/>
        <v>Normal Students</v>
      </c>
      <c r="S489" s="14" t="str">
        <f t="shared" si="69"/>
        <v>Unbalanced Student</v>
      </c>
      <c r="T489" s="14" t="str">
        <f t="shared" si="70"/>
        <v>Medium</v>
      </c>
      <c r="U489" s="21" t="str">
        <f t="shared" si="71"/>
        <v>C</v>
      </c>
    </row>
    <row r="490" spans="2:21">
      <c r="B490" s="20">
        <v>487</v>
      </c>
      <c r="C490" s="14" t="s">
        <v>14</v>
      </c>
      <c r="D490" s="14" t="s">
        <v>15</v>
      </c>
      <c r="E490" s="14">
        <v>5</v>
      </c>
      <c r="F490" s="14">
        <v>90</v>
      </c>
      <c r="G490" s="14">
        <v>86</v>
      </c>
      <c r="H490" s="14">
        <v>88</v>
      </c>
      <c r="I490" s="14">
        <v>89</v>
      </c>
      <c r="J490" s="14" t="s">
        <v>13</v>
      </c>
      <c r="K490" s="14">
        <v>6</v>
      </c>
      <c r="L490" s="14">
        <v>2</v>
      </c>
      <c r="M490" s="15">
        <f t="shared" si="63"/>
        <v>263</v>
      </c>
      <c r="N490" s="15">
        <f t="shared" si="64"/>
        <v>87.666666666666671</v>
      </c>
      <c r="O490" s="14" t="str">
        <f t="shared" si="65"/>
        <v>Excellent</v>
      </c>
      <c r="P490" s="15">
        <f t="shared" si="66"/>
        <v>17.533333333333335</v>
      </c>
      <c r="Q490" s="14" t="str">
        <f t="shared" si="67"/>
        <v>No</v>
      </c>
      <c r="R490" s="14" t="str">
        <f t="shared" si="68"/>
        <v>Normal Students</v>
      </c>
      <c r="S490" s="14" t="str">
        <f t="shared" si="69"/>
        <v>Balanced Student</v>
      </c>
      <c r="T490" s="14" t="str">
        <f t="shared" si="70"/>
        <v>High</v>
      </c>
      <c r="U490" s="21" t="str">
        <f t="shared" si="71"/>
        <v>A</v>
      </c>
    </row>
    <row r="491" spans="2:21">
      <c r="B491" s="20">
        <v>488</v>
      </c>
      <c r="C491" s="14" t="s">
        <v>11</v>
      </c>
      <c r="D491" s="14" t="s">
        <v>12</v>
      </c>
      <c r="E491" s="14">
        <v>3</v>
      </c>
      <c r="F491" s="14">
        <v>82</v>
      </c>
      <c r="G491" s="14">
        <v>76</v>
      </c>
      <c r="H491" s="14">
        <v>75</v>
      </c>
      <c r="I491" s="14">
        <v>80</v>
      </c>
      <c r="J491" s="14" t="s">
        <v>16</v>
      </c>
      <c r="K491" s="14">
        <v>7</v>
      </c>
      <c r="L491" s="14">
        <v>4</v>
      </c>
      <c r="M491" s="15">
        <f t="shared" si="63"/>
        <v>231</v>
      </c>
      <c r="N491" s="15">
        <f t="shared" si="64"/>
        <v>77</v>
      </c>
      <c r="O491" s="14" t="str">
        <f t="shared" si="65"/>
        <v>Good</v>
      </c>
      <c r="P491" s="15">
        <f t="shared" si="66"/>
        <v>25.666666666666668</v>
      </c>
      <c r="Q491" s="14" t="str">
        <f t="shared" si="67"/>
        <v>No</v>
      </c>
      <c r="R491" s="14" t="str">
        <f t="shared" si="68"/>
        <v>Normal Students</v>
      </c>
      <c r="S491" s="14" t="str">
        <f t="shared" si="69"/>
        <v>Unbalanced Student</v>
      </c>
      <c r="T491" s="14" t="str">
        <f t="shared" si="70"/>
        <v>High</v>
      </c>
      <c r="U491" s="21" t="str">
        <f t="shared" si="71"/>
        <v>B</v>
      </c>
    </row>
    <row r="492" spans="2:21">
      <c r="B492" s="20">
        <v>489</v>
      </c>
      <c r="C492" s="14" t="s">
        <v>165</v>
      </c>
      <c r="D492" s="14" t="s">
        <v>12</v>
      </c>
      <c r="E492" s="14">
        <v>3</v>
      </c>
      <c r="F492" s="14">
        <v>80</v>
      </c>
      <c r="G492" s="14">
        <v>75</v>
      </c>
      <c r="H492" s="14">
        <v>73</v>
      </c>
      <c r="I492" s="14">
        <v>78</v>
      </c>
      <c r="J492" s="14" t="s">
        <v>13</v>
      </c>
      <c r="K492" s="14">
        <v>7</v>
      </c>
      <c r="L492" s="14">
        <v>4</v>
      </c>
      <c r="M492" s="15">
        <f t="shared" si="63"/>
        <v>226</v>
      </c>
      <c r="N492" s="15">
        <f t="shared" si="64"/>
        <v>75.333333333333329</v>
      </c>
      <c r="O492" s="14" t="str">
        <f t="shared" si="65"/>
        <v>Good</v>
      </c>
      <c r="P492" s="15">
        <f t="shared" si="66"/>
        <v>25.111111111111111</v>
      </c>
      <c r="Q492" s="14" t="str">
        <f t="shared" si="67"/>
        <v>No</v>
      </c>
      <c r="R492" s="14" t="str">
        <f t="shared" si="68"/>
        <v>Normal Students</v>
      </c>
      <c r="S492" s="14" t="str">
        <f t="shared" si="69"/>
        <v>Unbalanced Student</v>
      </c>
      <c r="T492" s="14" t="str">
        <f t="shared" si="70"/>
        <v>High</v>
      </c>
      <c r="U492" s="21" t="str">
        <f t="shared" si="71"/>
        <v>B</v>
      </c>
    </row>
    <row r="493" spans="2:21">
      <c r="B493" s="20">
        <v>490</v>
      </c>
      <c r="C493" s="14" t="s">
        <v>158</v>
      </c>
      <c r="D493" s="14" t="s">
        <v>159</v>
      </c>
      <c r="E493" s="14">
        <v>5</v>
      </c>
      <c r="F493" s="14">
        <v>90</v>
      </c>
      <c r="G493" s="14">
        <v>86</v>
      </c>
      <c r="H493" s="14">
        <v>88</v>
      </c>
      <c r="I493" s="14">
        <v>89</v>
      </c>
      <c r="J493" s="14" t="s">
        <v>67</v>
      </c>
      <c r="K493" s="14">
        <v>6</v>
      </c>
      <c r="L493" s="14">
        <v>2</v>
      </c>
      <c r="M493" s="15">
        <f t="shared" si="63"/>
        <v>263</v>
      </c>
      <c r="N493" s="15">
        <f t="shared" si="64"/>
        <v>87.666666666666671</v>
      </c>
      <c r="O493" s="14" t="str">
        <f t="shared" si="65"/>
        <v>Excellent</v>
      </c>
      <c r="P493" s="15">
        <f t="shared" si="66"/>
        <v>17.533333333333335</v>
      </c>
      <c r="Q493" s="14" t="str">
        <f t="shared" si="67"/>
        <v>No</v>
      </c>
      <c r="R493" s="14" t="str">
        <f t="shared" si="68"/>
        <v>Normal Students</v>
      </c>
      <c r="S493" s="14" t="str">
        <f t="shared" si="69"/>
        <v>Balanced Student</v>
      </c>
      <c r="T493" s="14" t="str">
        <f t="shared" si="70"/>
        <v>High</v>
      </c>
      <c r="U493" s="21" t="str">
        <f t="shared" si="71"/>
        <v>A</v>
      </c>
    </row>
    <row r="494" spans="2:21">
      <c r="B494" s="20">
        <v>491</v>
      </c>
      <c r="C494" s="14" t="s">
        <v>63</v>
      </c>
      <c r="D494" s="14" t="s">
        <v>12</v>
      </c>
      <c r="E494" s="14">
        <v>0</v>
      </c>
      <c r="F494" s="14">
        <v>85</v>
      </c>
      <c r="G494" s="14">
        <v>80</v>
      </c>
      <c r="H494" s="14">
        <v>82</v>
      </c>
      <c r="I494" s="14">
        <v>84</v>
      </c>
      <c r="J494" s="14" t="s">
        <v>13</v>
      </c>
      <c r="K494" s="14">
        <v>7</v>
      </c>
      <c r="L494" s="14">
        <v>3</v>
      </c>
      <c r="M494" s="15">
        <f t="shared" si="63"/>
        <v>246</v>
      </c>
      <c r="N494" s="15">
        <f t="shared" si="64"/>
        <v>82</v>
      </c>
      <c r="O494" s="14" t="str">
        <f t="shared" si="65"/>
        <v>Excellent</v>
      </c>
      <c r="P494" s="15">
        <f t="shared" si="66"/>
        <v>0</v>
      </c>
      <c r="Q494" s="14" t="str">
        <f t="shared" si="67"/>
        <v>No</v>
      </c>
      <c r="R494" s="14" t="str">
        <f t="shared" si="68"/>
        <v>Smart Students</v>
      </c>
      <c r="S494" s="14" t="str">
        <f t="shared" si="69"/>
        <v>Balanced Student</v>
      </c>
      <c r="T494" s="14" t="str">
        <f t="shared" si="70"/>
        <v>High</v>
      </c>
      <c r="U494" s="21" t="str">
        <f t="shared" si="71"/>
        <v>A</v>
      </c>
    </row>
    <row r="495" spans="2:21">
      <c r="B495" s="20">
        <v>492</v>
      </c>
      <c r="C495" s="14" t="s">
        <v>160</v>
      </c>
      <c r="D495" s="14" t="s">
        <v>161</v>
      </c>
      <c r="E495" s="14">
        <v>2</v>
      </c>
      <c r="F495" s="14">
        <v>70</v>
      </c>
      <c r="G495" s="14">
        <v>62</v>
      </c>
      <c r="H495" s="14">
        <v>60</v>
      </c>
      <c r="I495" s="14">
        <v>66</v>
      </c>
      <c r="J495" s="14" t="s">
        <v>162</v>
      </c>
      <c r="K495" s="14">
        <v>8</v>
      </c>
      <c r="L495" s="14">
        <v>5</v>
      </c>
      <c r="M495" s="15">
        <f t="shared" si="63"/>
        <v>188</v>
      </c>
      <c r="N495" s="15">
        <f t="shared" si="64"/>
        <v>62.666666666666664</v>
      </c>
      <c r="O495" s="14" t="str">
        <f t="shared" si="65"/>
        <v>Good</v>
      </c>
      <c r="P495" s="15">
        <f t="shared" si="66"/>
        <v>31.333333333333332</v>
      </c>
      <c r="Q495" s="14" t="str">
        <f t="shared" si="67"/>
        <v>No</v>
      </c>
      <c r="R495" s="14" t="str">
        <f t="shared" si="68"/>
        <v>Normal Students</v>
      </c>
      <c r="S495" s="14" t="str">
        <f t="shared" si="69"/>
        <v>Unbalanced Student</v>
      </c>
      <c r="T495" s="14" t="str">
        <f t="shared" si="70"/>
        <v>Medium</v>
      </c>
      <c r="U495" s="21" t="str">
        <f t="shared" si="71"/>
        <v>C</v>
      </c>
    </row>
    <row r="496" spans="2:21">
      <c r="B496" s="20">
        <v>493</v>
      </c>
      <c r="C496" s="14" t="s">
        <v>40</v>
      </c>
      <c r="D496" s="14" t="s">
        <v>15</v>
      </c>
      <c r="E496" s="14">
        <v>5</v>
      </c>
      <c r="F496" s="14">
        <v>92</v>
      </c>
      <c r="G496" s="14">
        <v>88</v>
      </c>
      <c r="H496" s="14">
        <v>90</v>
      </c>
      <c r="I496" s="14">
        <v>91</v>
      </c>
      <c r="J496" s="14" t="s">
        <v>13</v>
      </c>
      <c r="K496" s="14">
        <v>0</v>
      </c>
      <c r="L496" s="14">
        <v>2</v>
      </c>
      <c r="M496" s="15">
        <f t="shared" si="63"/>
        <v>269</v>
      </c>
      <c r="N496" s="15">
        <f t="shared" si="64"/>
        <v>89.666666666666671</v>
      </c>
      <c r="O496" s="14" t="str">
        <f t="shared" si="65"/>
        <v>Excellent</v>
      </c>
      <c r="P496" s="15">
        <f t="shared" si="66"/>
        <v>17.933333333333334</v>
      </c>
      <c r="Q496" s="14" t="str">
        <f t="shared" si="67"/>
        <v>No</v>
      </c>
      <c r="R496" s="14" t="str">
        <f t="shared" si="68"/>
        <v>Normal Students</v>
      </c>
      <c r="S496" s="14" t="str">
        <f t="shared" si="69"/>
        <v>Unbalanced Student</v>
      </c>
      <c r="T496" s="14" t="str">
        <f t="shared" si="70"/>
        <v>High</v>
      </c>
      <c r="U496" s="21" t="str">
        <f t="shared" si="71"/>
        <v>A</v>
      </c>
    </row>
    <row r="497" spans="2:21">
      <c r="B497" s="20">
        <v>494</v>
      </c>
      <c r="C497" s="14" t="s">
        <v>71</v>
      </c>
      <c r="D497" s="14" t="s">
        <v>12</v>
      </c>
      <c r="E497" s="14">
        <v>3</v>
      </c>
      <c r="F497" s="14">
        <v>78</v>
      </c>
      <c r="G497" s="14">
        <v>72</v>
      </c>
      <c r="H497" s="14">
        <v>70</v>
      </c>
      <c r="I497" s="14">
        <v>75</v>
      </c>
      <c r="J497" s="14" t="s">
        <v>13</v>
      </c>
      <c r="K497" s="14">
        <v>7</v>
      </c>
      <c r="L497" s="14">
        <v>4</v>
      </c>
      <c r="M497" s="15">
        <f t="shared" si="63"/>
        <v>217</v>
      </c>
      <c r="N497" s="15">
        <f t="shared" si="64"/>
        <v>72.333333333333329</v>
      </c>
      <c r="O497" s="14" t="str">
        <f t="shared" si="65"/>
        <v>Good</v>
      </c>
      <c r="P497" s="15">
        <f t="shared" si="66"/>
        <v>24.111111111111111</v>
      </c>
      <c r="Q497" s="14" t="str">
        <f t="shared" si="67"/>
        <v>No</v>
      </c>
      <c r="R497" s="14" t="str">
        <f t="shared" si="68"/>
        <v>Normal Students</v>
      </c>
      <c r="S497" s="14" t="str">
        <f t="shared" si="69"/>
        <v>Unbalanced Student</v>
      </c>
      <c r="T497" s="14" t="str">
        <f t="shared" si="70"/>
        <v>Medium</v>
      </c>
      <c r="U497" s="21" t="str">
        <f t="shared" si="71"/>
        <v>B</v>
      </c>
    </row>
    <row r="498" spans="2:21">
      <c r="B498" s="20">
        <v>495</v>
      </c>
      <c r="C498" s="14" t="s">
        <v>50</v>
      </c>
      <c r="D498" s="14" t="s">
        <v>15</v>
      </c>
      <c r="E498" s="14">
        <v>4</v>
      </c>
      <c r="F498" s="14">
        <v>87</v>
      </c>
      <c r="G498" s="14">
        <v>83</v>
      </c>
      <c r="H498" s="14">
        <v>81</v>
      </c>
      <c r="I498" s="14">
        <v>85</v>
      </c>
      <c r="J498" s="14" t="s">
        <v>13</v>
      </c>
      <c r="K498" s="14">
        <v>6</v>
      </c>
      <c r="L498" s="14">
        <v>3</v>
      </c>
      <c r="M498" s="15">
        <f t="shared" si="63"/>
        <v>249</v>
      </c>
      <c r="N498" s="15">
        <f t="shared" si="64"/>
        <v>83</v>
      </c>
      <c r="O498" s="14" t="str">
        <f t="shared" si="65"/>
        <v>Excellent</v>
      </c>
      <c r="P498" s="15">
        <f t="shared" si="66"/>
        <v>20.75</v>
      </c>
      <c r="Q498" s="14" t="str">
        <f t="shared" si="67"/>
        <v>No</v>
      </c>
      <c r="R498" s="14" t="str">
        <f t="shared" si="68"/>
        <v>Normal Students</v>
      </c>
      <c r="S498" s="14" t="str">
        <f t="shared" si="69"/>
        <v>Balanced Student</v>
      </c>
      <c r="T498" s="14" t="str">
        <f t="shared" si="70"/>
        <v>High</v>
      </c>
      <c r="U498" s="21" t="str">
        <f t="shared" si="71"/>
        <v>A</v>
      </c>
    </row>
    <row r="499" spans="2:21">
      <c r="B499" s="20">
        <v>496</v>
      </c>
      <c r="C499" s="14" t="s">
        <v>165</v>
      </c>
      <c r="D499" s="14" t="s">
        <v>15</v>
      </c>
      <c r="E499" s="14">
        <v>2</v>
      </c>
      <c r="F499" s="14">
        <v>68</v>
      </c>
      <c r="G499" s="14">
        <v>60</v>
      </c>
      <c r="H499" s="14">
        <v>58</v>
      </c>
      <c r="I499" s="14">
        <v>64</v>
      </c>
      <c r="J499" s="14" t="s">
        <v>16</v>
      </c>
      <c r="K499" s="14">
        <v>8</v>
      </c>
      <c r="L499" s="14">
        <v>5</v>
      </c>
      <c r="M499" s="15">
        <f t="shared" si="63"/>
        <v>182</v>
      </c>
      <c r="N499" s="15">
        <f t="shared" si="64"/>
        <v>60.666666666666664</v>
      </c>
      <c r="O499" s="14" t="str">
        <f t="shared" si="65"/>
        <v>Good</v>
      </c>
      <c r="P499" s="15">
        <f t="shared" si="66"/>
        <v>30.333333333333332</v>
      </c>
      <c r="Q499" s="14" t="str">
        <f t="shared" si="67"/>
        <v>No</v>
      </c>
      <c r="R499" s="14" t="str">
        <f t="shared" si="68"/>
        <v>Normal Students</v>
      </c>
      <c r="S499" s="14" t="str">
        <f t="shared" si="69"/>
        <v>Unbalanced Student</v>
      </c>
      <c r="T499" s="14" t="str">
        <f t="shared" si="70"/>
        <v>Medium</v>
      </c>
      <c r="U499" s="21" t="str">
        <f t="shared" si="71"/>
        <v>C</v>
      </c>
    </row>
    <row r="500" spans="2:21">
      <c r="B500" s="20">
        <v>497</v>
      </c>
      <c r="C500" s="14" t="s">
        <v>154</v>
      </c>
      <c r="D500" s="14" t="s">
        <v>15</v>
      </c>
      <c r="E500" s="14">
        <v>5</v>
      </c>
      <c r="F500" s="14">
        <v>91</v>
      </c>
      <c r="G500" s="14">
        <v>87</v>
      </c>
      <c r="H500" s="14">
        <v>88</v>
      </c>
      <c r="I500" s="14">
        <v>90</v>
      </c>
      <c r="J500" s="14" t="s">
        <v>13</v>
      </c>
      <c r="K500" s="14">
        <v>6</v>
      </c>
      <c r="L500" s="14">
        <v>2</v>
      </c>
      <c r="M500" s="15">
        <f t="shared" si="63"/>
        <v>265</v>
      </c>
      <c r="N500" s="15">
        <f t="shared" si="64"/>
        <v>88.333333333333329</v>
      </c>
      <c r="O500" s="14" t="str">
        <f t="shared" si="65"/>
        <v>Excellent</v>
      </c>
      <c r="P500" s="15">
        <f t="shared" si="66"/>
        <v>17.666666666666664</v>
      </c>
      <c r="Q500" s="14" t="str">
        <f t="shared" si="67"/>
        <v>No</v>
      </c>
      <c r="R500" s="14" t="str">
        <f t="shared" si="68"/>
        <v>Normal Students</v>
      </c>
      <c r="S500" s="14" t="str">
        <f t="shared" si="69"/>
        <v>Balanced Student</v>
      </c>
      <c r="T500" s="14" t="str">
        <f t="shared" si="70"/>
        <v>High</v>
      </c>
      <c r="U500" s="21" t="str">
        <f t="shared" si="71"/>
        <v>A</v>
      </c>
    </row>
    <row r="501" spans="2:21">
      <c r="B501" s="20">
        <v>498</v>
      </c>
      <c r="C501" s="14" t="s">
        <v>156</v>
      </c>
      <c r="D501" s="14" t="s">
        <v>12</v>
      </c>
      <c r="E501" s="14">
        <v>6</v>
      </c>
      <c r="F501" s="14">
        <v>94</v>
      </c>
      <c r="G501" s="14">
        <v>91</v>
      </c>
      <c r="H501" s="14">
        <v>90</v>
      </c>
      <c r="I501" s="14">
        <v>92</v>
      </c>
      <c r="J501" s="14" t="s">
        <v>16</v>
      </c>
      <c r="K501" s="14">
        <v>6</v>
      </c>
      <c r="L501" s="14">
        <v>2</v>
      </c>
      <c r="M501" s="15">
        <f t="shared" si="63"/>
        <v>273</v>
      </c>
      <c r="N501" s="15">
        <f t="shared" si="64"/>
        <v>91</v>
      </c>
      <c r="O501" s="14" t="str">
        <f t="shared" si="65"/>
        <v>Excellent</v>
      </c>
      <c r="P501" s="15">
        <f t="shared" si="66"/>
        <v>15.166666666666666</v>
      </c>
      <c r="Q501" s="14" t="str">
        <f t="shared" si="67"/>
        <v>No</v>
      </c>
      <c r="R501" s="14" t="str">
        <f t="shared" si="68"/>
        <v>Normal Students</v>
      </c>
      <c r="S501" s="14" t="str">
        <f t="shared" si="69"/>
        <v>Balanced Student</v>
      </c>
      <c r="T501" s="14" t="str">
        <f t="shared" si="70"/>
        <v>High</v>
      </c>
      <c r="U501" s="21" t="str">
        <f t="shared" si="71"/>
        <v>A</v>
      </c>
    </row>
    <row r="502" spans="2:21">
      <c r="B502" s="20">
        <v>499</v>
      </c>
      <c r="C502" s="14" t="s">
        <v>37</v>
      </c>
      <c r="D502" s="14" t="s">
        <v>12</v>
      </c>
      <c r="E502" s="14">
        <v>3</v>
      </c>
      <c r="F502" s="14">
        <v>80</v>
      </c>
      <c r="G502" s="14">
        <v>75</v>
      </c>
      <c r="H502" s="14">
        <v>73</v>
      </c>
      <c r="I502" s="14">
        <v>78</v>
      </c>
      <c r="J502" s="14" t="s">
        <v>13</v>
      </c>
      <c r="K502" s="14">
        <v>7</v>
      </c>
      <c r="L502" s="14">
        <v>4</v>
      </c>
      <c r="M502" s="15">
        <f t="shared" si="63"/>
        <v>226</v>
      </c>
      <c r="N502" s="15">
        <f t="shared" si="64"/>
        <v>75.333333333333329</v>
      </c>
      <c r="O502" s="14" t="str">
        <f t="shared" si="65"/>
        <v>Good</v>
      </c>
      <c r="P502" s="15">
        <f t="shared" si="66"/>
        <v>25.111111111111111</v>
      </c>
      <c r="Q502" s="14" t="str">
        <f t="shared" si="67"/>
        <v>No</v>
      </c>
      <c r="R502" s="14" t="str">
        <f t="shared" si="68"/>
        <v>Normal Students</v>
      </c>
      <c r="S502" s="14" t="str">
        <f t="shared" si="69"/>
        <v>Unbalanced Student</v>
      </c>
      <c r="T502" s="14" t="str">
        <f t="shared" si="70"/>
        <v>High</v>
      </c>
      <c r="U502" s="21" t="str">
        <f t="shared" si="71"/>
        <v>B</v>
      </c>
    </row>
    <row r="503" spans="2:21" ht="15" thickBot="1">
      <c r="B503" s="22">
        <v>500</v>
      </c>
      <c r="C503" s="23" t="s">
        <v>28</v>
      </c>
      <c r="D503" s="23" t="s">
        <v>15</v>
      </c>
      <c r="E503" s="23">
        <v>4</v>
      </c>
      <c r="F503" s="23">
        <v>85</v>
      </c>
      <c r="G503" s="23">
        <v>80</v>
      </c>
      <c r="H503" s="23">
        <v>82</v>
      </c>
      <c r="I503" s="23">
        <v>84</v>
      </c>
      <c r="J503" s="23" t="s">
        <v>13</v>
      </c>
      <c r="K503" s="23">
        <v>7</v>
      </c>
      <c r="L503" s="23">
        <v>3</v>
      </c>
      <c r="M503" s="24">
        <f t="shared" si="63"/>
        <v>246</v>
      </c>
      <c r="N503" s="24">
        <f t="shared" si="64"/>
        <v>82</v>
      </c>
      <c r="O503" s="23" t="str">
        <f t="shared" si="65"/>
        <v>Excellent</v>
      </c>
      <c r="P503" s="24">
        <f t="shared" si="66"/>
        <v>20.5</v>
      </c>
      <c r="Q503" s="23" t="str">
        <f t="shared" si="67"/>
        <v>No</v>
      </c>
      <c r="R503" s="23" t="str">
        <f t="shared" si="68"/>
        <v>Normal Students</v>
      </c>
      <c r="S503" s="23" t="str">
        <f t="shared" si="69"/>
        <v>Balanced Student</v>
      </c>
      <c r="T503" s="23" t="str">
        <f t="shared" si="70"/>
        <v>High</v>
      </c>
      <c r="U503" s="25" t="str">
        <f t="shared" si="71"/>
        <v>A</v>
      </c>
    </row>
  </sheetData>
  <mergeCells count="3">
    <mergeCell ref="AA3:AB3"/>
    <mergeCell ref="AA12:AB12"/>
    <mergeCell ref="AA18:AB18"/>
  </mergeCells>
  <conditionalFormatting sqref="M4:M503">
    <cfRule type="cellIs" dxfId="34" priority="13" operator="greaterThan">
      <formula>250</formula>
    </cfRule>
    <cfRule type="cellIs" dxfId="33" priority="14" operator="between">
      <formula>101</formula>
      <formula>250</formula>
    </cfRule>
    <cfRule type="cellIs" dxfId="32" priority="15" operator="lessThan">
      <formula>101</formula>
    </cfRule>
  </conditionalFormatting>
  <conditionalFormatting sqref="E4:E503">
    <cfRule type="dataBar" priority="12">
      <dataBar>
        <cfvo type="min"/>
        <cfvo type="max"/>
        <color rgb="FF638EC6"/>
      </dataBar>
      <extLst>
        <ext xmlns:x14="http://schemas.microsoft.com/office/spreadsheetml/2009/9/main" uri="{B025F937-C7B1-47D3-B67F-A62EFF666E3E}">
          <x14:id>{63394FCC-73FE-412E-8A92-45D699579068}</x14:id>
        </ext>
      </extLst>
    </cfRule>
  </conditionalFormatting>
  <conditionalFormatting sqref="N4:N503">
    <cfRule type="cellIs" dxfId="31" priority="8" operator="greaterThan">
      <formula>80</formula>
    </cfRule>
    <cfRule type="cellIs" dxfId="30" priority="9" operator="between">
      <formula>33</formula>
      <formula>80</formula>
    </cfRule>
    <cfRule type="cellIs" dxfId="29" priority="11" operator="lessThan">
      <formula>33</formula>
    </cfRule>
  </conditionalFormatting>
  <conditionalFormatting sqref="Q4:Q503">
    <cfRule type="containsText" dxfId="28" priority="7" operator="containsText" text="Yes">
      <formula>NOT(ISERROR(SEARCH("Yes",Q4)))</formula>
    </cfRule>
  </conditionalFormatting>
  <conditionalFormatting sqref="C4:C503">
    <cfRule type="top10" dxfId="27" priority="4" rank="10"/>
    <cfRule type="expression" dxfId="26" priority="5">
      <formula>AND($F4&lt;=75,$G4&lt;60)</formula>
    </cfRule>
  </conditionalFormatting>
  <conditionalFormatting sqref="G4:I503">
    <cfRule type="top10" dxfId="25" priority="3" rank="10"/>
  </conditionalFormatting>
  <conditionalFormatting sqref="H4:H503">
    <cfRule type="top10" dxfId="24" priority="2" rank="10"/>
  </conditionalFormatting>
  <conditionalFormatting sqref="G4:G503">
    <cfRule type="top10" dxfId="23" priority="1" rank="10"/>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63394FCC-73FE-412E-8A92-45D699579068}">
            <x14:dataBar minLength="0" maxLength="100" border="1" negativeBarBorderColorSameAsPositive="0">
              <x14:cfvo type="autoMin"/>
              <x14:cfvo type="autoMax"/>
              <x14:borderColor rgb="FF638EC6"/>
              <x14:negativeFillColor rgb="FFFF0000"/>
              <x14:negativeBorderColor rgb="FFFF0000"/>
              <x14:axisColor rgb="FF000000"/>
            </x14:dataBar>
          </x14:cfRule>
          <xm:sqref>E4:E503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1"/>
  <sheetViews>
    <sheetView topLeftCell="L1" workbookViewId="0">
      <selection activeCell="G15" sqref="G15"/>
    </sheetView>
  </sheetViews>
  <sheetFormatPr defaultRowHeight="14.5"/>
  <cols>
    <col min="1" max="1" width="12.26953125" customWidth="1"/>
    <col min="3" max="3" width="9" customWidth="1"/>
    <col min="4" max="4" width="21.54296875" customWidth="1"/>
    <col min="5" max="5" width="15.7265625" customWidth="1"/>
    <col min="6" max="6" width="18.08984375" customWidth="1"/>
    <col min="7" max="7" width="15.7265625" customWidth="1"/>
    <col min="8" max="8" width="17.81640625" customWidth="1"/>
    <col min="9" max="9" width="15.7265625" customWidth="1"/>
    <col min="10" max="10" width="13.26953125" customWidth="1"/>
    <col min="11" max="11" width="23.90625" customWidth="1"/>
    <col min="12" max="12" width="12.6328125" customWidth="1"/>
    <col min="13" max="13" width="15.08984375" customWidth="1"/>
    <col min="14" max="14" width="13.6328125" customWidth="1"/>
    <col min="15" max="15" width="16.36328125" customWidth="1"/>
    <col min="16" max="16" width="9.08984375" customWidth="1"/>
    <col min="17" max="17" width="16.26953125" customWidth="1"/>
    <col min="18" max="18" width="18" customWidth="1"/>
    <col min="19" max="19" width="18.81640625" customWidth="1"/>
  </cols>
  <sheetData>
    <row r="1" spans="1:20">
      <c r="A1" t="s">
        <v>0</v>
      </c>
      <c r="B1" t="s">
        <v>1</v>
      </c>
      <c r="C1" t="s">
        <v>2</v>
      </c>
      <c r="D1" t="s">
        <v>3</v>
      </c>
      <c r="E1" t="s">
        <v>4</v>
      </c>
      <c r="F1" t="s">
        <v>5</v>
      </c>
      <c r="G1" t="s">
        <v>6</v>
      </c>
      <c r="H1" t="s">
        <v>7</v>
      </c>
      <c r="I1" t="s">
        <v>8</v>
      </c>
      <c r="J1" t="s">
        <v>9</v>
      </c>
      <c r="K1" t="s">
        <v>10</v>
      </c>
      <c r="L1" t="s">
        <v>166</v>
      </c>
      <c r="M1" t="s">
        <v>167</v>
      </c>
      <c r="N1" t="s">
        <v>168</v>
      </c>
      <c r="O1" t="s">
        <v>169</v>
      </c>
      <c r="P1" t="s">
        <v>170</v>
      </c>
      <c r="Q1" t="s">
        <v>171</v>
      </c>
      <c r="R1" t="s">
        <v>172</v>
      </c>
      <c r="S1" t="s">
        <v>193</v>
      </c>
      <c r="T1" t="s">
        <v>175</v>
      </c>
    </row>
    <row r="2" spans="1:20">
      <c r="A2">
        <v>2</v>
      </c>
      <c r="B2" t="s">
        <v>14</v>
      </c>
      <c r="C2" t="s">
        <v>15</v>
      </c>
      <c r="D2">
        <v>5</v>
      </c>
      <c r="E2">
        <v>92</v>
      </c>
      <c r="F2">
        <v>88</v>
      </c>
      <c r="G2">
        <v>85</v>
      </c>
      <c r="H2">
        <v>90</v>
      </c>
      <c r="I2" t="s">
        <v>16</v>
      </c>
      <c r="J2">
        <v>6</v>
      </c>
      <c r="K2">
        <v>2</v>
      </c>
      <c r="L2">
        <v>263</v>
      </c>
      <c r="M2">
        <v>87.666666666666671</v>
      </c>
      <c r="N2" t="s">
        <v>198</v>
      </c>
      <c r="O2">
        <v>17.533333333333335</v>
      </c>
      <c r="P2" t="s">
        <v>16</v>
      </c>
      <c r="Q2" t="s">
        <v>212</v>
      </c>
      <c r="R2" t="s">
        <v>213</v>
      </c>
      <c r="S2" t="s">
        <v>195</v>
      </c>
      <c r="T2" t="s">
        <v>180</v>
      </c>
    </row>
    <row r="3" spans="1:20">
      <c r="A3">
        <v>4</v>
      </c>
      <c r="B3" t="s">
        <v>18</v>
      </c>
      <c r="C3" t="s">
        <v>15</v>
      </c>
      <c r="D3">
        <v>4</v>
      </c>
      <c r="E3">
        <v>88</v>
      </c>
      <c r="F3">
        <v>82</v>
      </c>
      <c r="G3">
        <v>79</v>
      </c>
      <c r="H3">
        <v>85</v>
      </c>
      <c r="I3" t="s">
        <v>13</v>
      </c>
      <c r="J3">
        <v>7</v>
      </c>
      <c r="K3">
        <v>0</v>
      </c>
      <c r="L3">
        <v>246</v>
      </c>
      <c r="M3">
        <v>82</v>
      </c>
      <c r="N3" t="s">
        <v>198</v>
      </c>
      <c r="O3">
        <v>20.5</v>
      </c>
      <c r="P3" t="s">
        <v>16</v>
      </c>
      <c r="Q3" t="s">
        <v>212</v>
      </c>
      <c r="R3" t="s">
        <v>213</v>
      </c>
      <c r="S3" t="s">
        <v>195</v>
      </c>
      <c r="T3" t="s">
        <v>180</v>
      </c>
    </row>
    <row r="4" spans="1:20">
      <c r="A4">
        <v>5</v>
      </c>
      <c r="B4" t="s">
        <v>19</v>
      </c>
      <c r="C4" t="s">
        <v>12</v>
      </c>
      <c r="D4">
        <v>6</v>
      </c>
      <c r="E4">
        <v>95</v>
      </c>
      <c r="F4">
        <v>90</v>
      </c>
      <c r="G4">
        <v>92</v>
      </c>
      <c r="H4">
        <v>94</v>
      </c>
      <c r="I4" t="s">
        <v>16</v>
      </c>
      <c r="J4">
        <v>6</v>
      </c>
      <c r="K4">
        <v>2</v>
      </c>
      <c r="L4">
        <v>276</v>
      </c>
      <c r="M4">
        <v>92</v>
      </c>
      <c r="N4" t="s">
        <v>198</v>
      </c>
      <c r="O4">
        <v>15.333333333333334</v>
      </c>
      <c r="P4" t="s">
        <v>16</v>
      </c>
      <c r="Q4" t="s">
        <v>212</v>
      </c>
      <c r="R4" t="s">
        <v>213</v>
      </c>
      <c r="S4" t="s">
        <v>195</v>
      </c>
      <c r="T4" t="s">
        <v>180</v>
      </c>
    </row>
    <row r="5" spans="1:20">
      <c r="A5">
        <v>7</v>
      </c>
      <c r="B5" t="s">
        <v>21</v>
      </c>
      <c r="C5" t="s">
        <v>12</v>
      </c>
      <c r="D5">
        <v>1</v>
      </c>
      <c r="E5">
        <v>65</v>
      </c>
      <c r="F5">
        <v>85</v>
      </c>
      <c r="G5">
        <v>90</v>
      </c>
      <c r="H5">
        <v>78</v>
      </c>
      <c r="I5" t="s">
        <v>16</v>
      </c>
      <c r="J5">
        <v>8</v>
      </c>
      <c r="K5">
        <v>6</v>
      </c>
      <c r="L5">
        <v>253</v>
      </c>
      <c r="M5">
        <v>84.333333333333329</v>
      </c>
      <c r="N5" t="s">
        <v>198</v>
      </c>
      <c r="O5">
        <v>84.333333333333329</v>
      </c>
      <c r="P5" t="s">
        <v>16</v>
      </c>
      <c r="Q5" t="s">
        <v>214</v>
      </c>
      <c r="R5" t="s">
        <v>215</v>
      </c>
      <c r="S5" t="s">
        <v>196</v>
      </c>
      <c r="T5" t="s">
        <v>180</v>
      </c>
    </row>
    <row r="6" spans="1:20">
      <c r="A6">
        <v>8</v>
      </c>
      <c r="B6" t="s">
        <v>22</v>
      </c>
      <c r="C6" t="s">
        <v>15</v>
      </c>
      <c r="D6">
        <v>5</v>
      </c>
      <c r="E6">
        <v>90</v>
      </c>
      <c r="F6">
        <v>85</v>
      </c>
      <c r="G6">
        <v>87</v>
      </c>
      <c r="H6">
        <v>89</v>
      </c>
      <c r="I6" t="s">
        <v>13</v>
      </c>
      <c r="J6">
        <v>0</v>
      </c>
      <c r="K6">
        <v>2</v>
      </c>
      <c r="L6">
        <v>261</v>
      </c>
      <c r="M6">
        <v>87</v>
      </c>
      <c r="N6" t="s">
        <v>198</v>
      </c>
      <c r="O6">
        <v>17.399999999999999</v>
      </c>
      <c r="P6" t="s">
        <v>16</v>
      </c>
      <c r="Q6" t="s">
        <v>212</v>
      </c>
      <c r="R6" t="s">
        <v>215</v>
      </c>
      <c r="S6" t="s">
        <v>195</v>
      </c>
      <c r="T6" t="s">
        <v>180</v>
      </c>
    </row>
    <row r="7" spans="1:20">
      <c r="A7">
        <v>9</v>
      </c>
      <c r="B7" t="s">
        <v>23</v>
      </c>
      <c r="C7" t="s">
        <v>12</v>
      </c>
      <c r="D7">
        <v>4</v>
      </c>
      <c r="E7">
        <v>85</v>
      </c>
      <c r="F7">
        <v>80</v>
      </c>
      <c r="G7">
        <v>78</v>
      </c>
      <c r="H7">
        <v>82</v>
      </c>
      <c r="I7" t="s">
        <v>13</v>
      </c>
      <c r="J7">
        <v>7</v>
      </c>
      <c r="K7">
        <v>3</v>
      </c>
      <c r="L7">
        <v>240</v>
      </c>
      <c r="M7">
        <v>80</v>
      </c>
      <c r="N7" t="s">
        <v>198</v>
      </c>
      <c r="O7">
        <v>20</v>
      </c>
      <c r="P7" t="s">
        <v>16</v>
      </c>
      <c r="Q7" t="s">
        <v>212</v>
      </c>
      <c r="R7" t="s">
        <v>213</v>
      </c>
      <c r="S7" t="s">
        <v>195</v>
      </c>
      <c r="T7" t="s">
        <v>180</v>
      </c>
    </row>
    <row r="8" spans="1:20">
      <c r="A8">
        <v>10</v>
      </c>
      <c r="B8" t="s">
        <v>24</v>
      </c>
      <c r="C8" t="s">
        <v>15</v>
      </c>
      <c r="D8">
        <v>6</v>
      </c>
      <c r="E8">
        <v>96</v>
      </c>
      <c r="F8">
        <v>92</v>
      </c>
      <c r="G8">
        <v>94</v>
      </c>
      <c r="H8">
        <v>95</v>
      </c>
      <c r="I8" t="s">
        <v>16</v>
      </c>
      <c r="J8">
        <v>6</v>
      </c>
      <c r="K8">
        <v>2</v>
      </c>
      <c r="L8">
        <v>281</v>
      </c>
      <c r="M8">
        <v>93.666666666666671</v>
      </c>
      <c r="N8" t="s">
        <v>198</v>
      </c>
      <c r="O8">
        <v>15.611111111111112</v>
      </c>
      <c r="P8" t="s">
        <v>16</v>
      </c>
      <c r="Q8" t="s">
        <v>212</v>
      </c>
      <c r="R8" t="s">
        <v>213</v>
      </c>
      <c r="S8" t="s">
        <v>195</v>
      </c>
      <c r="T8" t="s">
        <v>180</v>
      </c>
    </row>
    <row r="9" spans="1:20">
      <c r="A9">
        <v>12</v>
      </c>
      <c r="B9" t="s">
        <v>26</v>
      </c>
      <c r="C9" t="s">
        <v>15</v>
      </c>
      <c r="D9">
        <v>4</v>
      </c>
      <c r="E9">
        <v>88</v>
      </c>
      <c r="F9">
        <v>84</v>
      </c>
      <c r="G9">
        <v>82</v>
      </c>
      <c r="H9">
        <v>86</v>
      </c>
      <c r="I9" t="s">
        <v>13</v>
      </c>
      <c r="J9">
        <v>6</v>
      </c>
      <c r="K9">
        <v>3</v>
      </c>
      <c r="L9">
        <v>252</v>
      </c>
      <c r="M9">
        <v>84</v>
      </c>
      <c r="N9" t="s">
        <v>198</v>
      </c>
      <c r="O9">
        <v>21</v>
      </c>
      <c r="P9" t="s">
        <v>16</v>
      </c>
      <c r="Q9" t="s">
        <v>212</v>
      </c>
      <c r="R9" t="s">
        <v>213</v>
      </c>
      <c r="S9" t="s">
        <v>195</v>
      </c>
      <c r="T9" t="s">
        <v>180</v>
      </c>
    </row>
    <row r="10" spans="1:20">
      <c r="A10">
        <v>14</v>
      </c>
      <c r="B10" t="s">
        <v>28</v>
      </c>
      <c r="C10" t="s">
        <v>15</v>
      </c>
      <c r="D10">
        <v>5</v>
      </c>
      <c r="E10">
        <v>91</v>
      </c>
      <c r="F10">
        <v>87</v>
      </c>
      <c r="G10">
        <v>88</v>
      </c>
      <c r="H10">
        <v>90</v>
      </c>
      <c r="I10" t="s">
        <v>13</v>
      </c>
      <c r="J10">
        <v>6</v>
      </c>
      <c r="K10">
        <v>2</v>
      </c>
      <c r="L10">
        <v>265</v>
      </c>
      <c r="M10">
        <v>88.333333333333329</v>
      </c>
      <c r="N10" t="s">
        <v>198</v>
      </c>
      <c r="O10">
        <v>17.666666666666664</v>
      </c>
      <c r="P10" t="s">
        <v>16</v>
      </c>
      <c r="Q10" t="s">
        <v>212</v>
      </c>
      <c r="R10" t="s">
        <v>213</v>
      </c>
      <c r="S10" t="s">
        <v>195</v>
      </c>
      <c r="T10" t="s">
        <v>180</v>
      </c>
    </row>
    <row r="11" spans="1:20">
      <c r="A11">
        <v>16</v>
      </c>
      <c r="B11" t="s">
        <v>30</v>
      </c>
      <c r="C11" t="s">
        <v>15</v>
      </c>
      <c r="D11">
        <v>4</v>
      </c>
      <c r="E11">
        <v>86</v>
      </c>
      <c r="F11">
        <v>80</v>
      </c>
      <c r="G11">
        <v>82</v>
      </c>
      <c r="H11">
        <v>84</v>
      </c>
      <c r="I11" t="s">
        <v>13</v>
      </c>
      <c r="J11">
        <v>7</v>
      </c>
      <c r="K11">
        <v>3</v>
      </c>
      <c r="L11">
        <v>246</v>
      </c>
      <c r="M11">
        <v>82</v>
      </c>
      <c r="N11" t="s">
        <v>198</v>
      </c>
      <c r="O11">
        <v>20.5</v>
      </c>
      <c r="P11" t="s">
        <v>16</v>
      </c>
      <c r="Q11" t="s">
        <v>212</v>
      </c>
      <c r="R11" t="s">
        <v>213</v>
      </c>
      <c r="S11" t="s">
        <v>195</v>
      </c>
      <c r="T11" t="s">
        <v>180</v>
      </c>
    </row>
    <row r="12" spans="1:20">
      <c r="A12">
        <v>17</v>
      </c>
      <c r="B12" t="s">
        <v>31</v>
      </c>
      <c r="C12" t="s">
        <v>12</v>
      </c>
      <c r="D12">
        <v>6</v>
      </c>
      <c r="E12">
        <v>94</v>
      </c>
      <c r="F12">
        <v>91</v>
      </c>
      <c r="G12">
        <v>90</v>
      </c>
      <c r="H12">
        <v>93</v>
      </c>
      <c r="I12" t="s">
        <v>16</v>
      </c>
      <c r="J12">
        <v>6</v>
      </c>
      <c r="K12">
        <v>2</v>
      </c>
      <c r="L12">
        <v>274</v>
      </c>
      <c r="M12">
        <v>91.333333333333329</v>
      </c>
      <c r="N12" t="s">
        <v>198</v>
      </c>
      <c r="O12">
        <v>15.222222222222221</v>
      </c>
      <c r="P12" t="s">
        <v>16</v>
      </c>
      <c r="Q12" t="s">
        <v>212</v>
      </c>
      <c r="R12" t="s">
        <v>213</v>
      </c>
      <c r="S12" t="s">
        <v>195</v>
      </c>
      <c r="T12" t="s">
        <v>180</v>
      </c>
    </row>
    <row r="13" spans="1:20">
      <c r="A13">
        <v>20</v>
      </c>
      <c r="B13" t="s">
        <v>34</v>
      </c>
      <c r="C13" t="s">
        <v>15</v>
      </c>
      <c r="D13">
        <v>5</v>
      </c>
      <c r="E13">
        <v>90</v>
      </c>
      <c r="F13">
        <v>86</v>
      </c>
      <c r="G13">
        <v>88</v>
      </c>
      <c r="H13">
        <v>89</v>
      </c>
      <c r="I13" t="s">
        <v>13</v>
      </c>
      <c r="J13">
        <v>6</v>
      </c>
      <c r="K13">
        <v>2</v>
      </c>
      <c r="L13">
        <v>263</v>
      </c>
      <c r="M13">
        <v>87.666666666666671</v>
      </c>
      <c r="N13" t="s">
        <v>198</v>
      </c>
      <c r="O13">
        <v>17.533333333333335</v>
      </c>
      <c r="P13" t="s">
        <v>16</v>
      </c>
      <c r="Q13" t="s">
        <v>212</v>
      </c>
      <c r="R13" t="s">
        <v>213</v>
      </c>
      <c r="S13" t="s">
        <v>195</v>
      </c>
      <c r="T13" t="s">
        <v>180</v>
      </c>
    </row>
    <row r="14" spans="1:20">
      <c r="A14">
        <v>22</v>
      </c>
      <c r="B14" t="s">
        <v>36</v>
      </c>
      <c r="C14" t="s">
        <v>15</v>
      </c>
      <c r="D14">
        <v>4</v>
      </c>
      <c r="E14">
        <v>87</v>
      </c>
      <c r="F14">
        <v>82</v>
      </c>
      <c r="G14">
        <v>80</v>
      </c>
      <c r="H14">
        <v>85</v>
      </c>
      <c r="I14" t="s">
        <v>16</v>
      </c>
      <c r="J14">
        <v>6</v>
      </c>
      <c r="K14">
        <v>3</v>
      </c>
      <c r="L14">
        <v>247</v>
      </c>
      <c r="M14">
        <v>82.333333333333329</v>
      </c>
      <c r="N14" t="s">
        <v>198</v>
      </c>
      <c r="O14">
        <v>20.583333333333332</v>
      </c>
      <c r="P14" t="s">
        <v>16</v>
      </c>
      <c r="Q14" t="s">
        <v>212</v>
      </c>
      <c r="R14" t="s">
        <v>213</v>
      </c>
      <c r="S14" t="s">
        <v>195</v>
      </c>
      <c r="T14" t="s">
        <v>180</v>
      </c>
    </row>
    <row r="15" spans="1:20">
      <c r="A15">
        <v>24</v>
      </c>
      <c r="B15" t="s">
        <v>38</v>
      </c>
      <c r="C15" t="s">
        <v>15</v>
      </c>
      <c r="D15">
        <v>5</v>
      </c>
      <c r="E15">
        <v>92</v>
      </c>
      <c r="F15">
        <v>88</v>
      </c>
      <c r="G15">
        <v>90</v>
      </c>
      <c r="H15">
        <v>91</v>
      </c>
      <c r="I15" t="s">
        <v>13</v>
      </c>
      <c r="J15">
        <v>6</v>
      </c>
      <c r="K15">
        <v>2</v>
      </c>
      <c r="L15">
        <v>269</v>
      </c>
      <c r="M15">
        <v>89.666666666666671</v>
      </c>
      <c r="N15" t="s">
        <v>198</v>
      </c>
      <c r="O15">
        <v>17.933333333333334</v>
      </c>
      <c r="P15" t="s">
        <v>16</v>
      </c>
      <c r="Q15" t="s">
        <v>212</v>
      </c>
      <c r="R15" t="s">
        <v>213</v>
      </c>
      <c r="S15" t="s">
        <v>195</v>
      </c>
      <c r="T15" t="s">
        <v>180</v>
      </c>
    </row>
    <row r="16" spans="1:20">
      <c r="A16">
        <v>26</v>
      </c>
      <c r="B16" t="s">
        <v>40</v>
      </c>
      <c r="C16" t="s">
        <v>15</v>
      </c>
      <c r="D16">
        <v>6</v>
      </c>
      <c r="E16">
        <v>95</v>
      </c>
      <c r="F16">
        <v>92</v>
      </c>
      <c r="G16">
        <v>93</v>
      </c>
      <c r="H16">
        <v>96</v>
      </c>
      <c r="I16" t="s">
        <v>16</v>
      </c>
      <c r="J16">
        <v>6</v>
      </c>
      <c r="K16">
        <v>2</v>
      </c>
      <c r="L16">
        <v>281</v>
      </c>
      <c r="M16">
        <v>93.666666666666671</v>
      </c>
      <c r="N16" t="s">
        <v>198</v>
      </c>
      <c r="O16">
        <v>15.611111111111112</v>
      </c>
      <c r="P16" t="s">
        <v>16</v>
      </c>
      <c r="Q16" t="s">
        <v>212</v>
      </c>
      <c r="R16" t="s">
        <v>213</v>
      </c>
      <c r="S16" t="s">
        <v>195</v>
      </c>
      <c r="T16" t="s">
        <v>180</v>
      </c>
    </row>
    <row r="17" spans="1:20">
      <c r="A17">
        <v>28</v>
      </c>
      <c r="B17" t="s">
        <v>42</v>
      </c>
      <c r="C17" t="s">
        <v>15</v>
      </c>
      <c r="D17">
        <v>4</v>
      </c>
      <c r="E17">
        <v>88</v>
      </c>
      <c r="F17">
        <v>84</v>
      </c>
      <c r="G17">
        <v>83</v>
      </c>
      <c r="H17">
        <v>87</v>
      </c>
      <c r="I17" t="s">
        <v>13</v>
      </c>
      <c r="J17">
        <v>7</v>
      </c>
      <c r="K17">
        <v>3</v>
      </c>
      <c r="L17">
        <v>254</v>
      </c>
      <c r="M17">
        <v>84.666666666666671</v>
      </c>
      <c r="N17" t="s">
        <v>198</v>
      </c>
      <c r="O17">
        <v>21.166666666666668</v>
      </c>
      <c r="P17" t="s">
        <v>16</v>
      </c>
      <c r="Q17" t="s">
        <v>212</v>
      </c>
      <c r="R17" t="s">
        <v>213</v>
      </c>
      <c r="S17" t="s">
        <v>195</v>
      </c>
      <c r="T17" t="s">
        <v>180</v>
      </c>
    </row>
    <row r="18" spans="1:20">
      <c r="A18">
        <v>30</v>
      </c>
      <c r="B18" t="s">
        <v>44</v>
      </c>
      <c r="C18" t="s">
        <v>15</v>
      </c>
      <c r="D18">
        <v>5</v>
      </c>
      <c r="E18">
        <v>91</v>
      </c>
      <c r="F18">
        <v>87</v>
      </c>
      <c r="G18">
        <v>88</v>
      </c>
      <c r="H18">
        <v>90</v>
      </c>
      <c r="I18" t="s">
        <v>13</v>
      </c>
      <c r="J18">
        <v>6</v>
      </c>
      <c r="K18">
        <v>2</v>
      </c>
      <c r="L18">
        <v>265</v>
      </c>
      <c r="M18">
        <v>88.333333333333329</v>
      </c>
      <c r="N18" t="s">
        <v>198</v>
      </c>
      <c r="O18">
        <v>17.666666666666664</v>
      </c>
      <c r="P18" t="s">
        <v>16</v>
      </c>
      <c r="Q18" t="s">
        <v>212</v>
      </c>
      <c r="R18" t="s">
        <v>213</v>
      </c>
      <c r="S18" t="s">
        <v>195</v>
      </c>
      <c r="T18" t="s">
        <v>180</v>
      </c>
    </row>
    <row r="19" spans="1:20">
      <c r="A19">
        <v>32</v>
      </c>
      <c r="B19" t="s">
        <v>46</v>
      </c>
      <c r="C19" t="s">
        <v>15</v>
      </c>
      <c r="D19">
        <v>4</v>
      </c>
      <c r="E19">
        <v>85</v>
      </c>
      <c r="F19">
        <v>80</v>
      </c>
      <c r="G19">
        <v>82</v>
      </c>
      <c r="H19">
        <v>84</v>
      </c>
      <c r="I19" t="s">
        <v>13</v>
      </c>
      <c r="J19">
        <v>7</v>
      </c>
      <c r="K19">
        <v>3</v>
      </c>
      <c r="L19">
        <v>246</v>
      </c>
      <c r="M19">
        <v>82</v>
      </c>
      <c r="N19" t="s">
        <v>198</v>
      </c>
      <c r="O19">
        <v>20.5</v>
      </c>
      <c r="P19" t="s">
        <v>16</v>
      </c>
      <c r="Q19" t="s">
        <v>212</v>
      </c>
      <c r="R19" t="s">
        <v>213</v>
      </c>
      <c r="S19" t="s">
        <v>195</v>
      </c>
      <c r="T19" t="s">
        <v>180</v>
      </c>
    </row>
    <row r="20" spans="1:20">
      <c r="A20">
        <v>33</v>
      </c>
      <c r="B20" t="s">
        <v>47</v>
      </c>
      <c r="C20" t="s">
        <v>12</v>
      </c>
      <c r="D20">
        <v>6</v>
      </c>
      <c r="E20">
        <v>94</v>
      </c>
      <c r="F20">
        <v>91</v>
      </c>
      <c r="G20">
        <v>90</v>
      </c>
      <c r="H20">
        <v>92</v>
      </c>
      <c r="I20" t="s">
        <v>16</v>
      </c>
      <c r="J20">
        <v>6</v>
      </c>
      <c r="K20">
        <v>2</v>
      </c>
      <c r="L20">
        <v>273</v>
      </c>
      <c r="M20">
        <v>91</v>
      </c>
      <c r="N20" t="s">
        <v>198</v>
      </c>
      <c r="O20">
        <v>15.166666666666666</v>
      </c>
      <c r="P20" t="s">
        <v>16</v>
      </c>
      <c r="Q20" t="s">
        <v>212</v>
      </c>
      <c r="R20" t="s">
        <v>213</v>
      </c>
      <c r="S20" t="s">
        <v>195</v>
      </c>
      <c r="T20" t="s">
        <v>180</v>
      </c>
    </row>
    <row r="21" spans="1:20">
      <c r="A21">
        <v>36</v>
      </c>
      <c r="B21" t="s">
        <v>50</v>
      </c>
      <c r="C21" t="s">
        <v>15</v>
      </c>
      <c r="D21">
        <v>5</v>
      </c>
      <c r="E21">
        <v>90</v>
      </c>
      <c r="F21">
        <v>86</v>
      </c>
      <c r="G21">
        <v>88</v>
      </c>
      <c r="H21">
        <v>89</v>
      </c>
      <c r="I21" t="s">
        <v>13</v>
      </c>
      <c r="J21">
        <v>6</v>
      </c>
      <c r="K21">
        <v>2</v>
      </c>
      <c r="L21">
        <v>263</v>
      </c>
      <c r="M21">
        <v>87.666666666666671</v>
      </c>
      <c r="N21" t="s">
        <v>198</v>
      </c>
      <c r="O21">
        <v>17.533333333333335</v>
      </c>
      <c r="P21" t="s">
        <v>16</v>
      </c>
      <c r="Q21" t="s">
        <v>212</v>
      </c>
      <c r="R21" t="s">
        <v>213</v>
      </c>
      <c r="S21" t="s">
        <v>195</v>
      </c>
      <c r="T21" t="s">
        <v>180</v>
      </c>
    </row>
    <row r="22" spans="1:20">
      <c r="A22">
        <v>38</v>
      </c>
      <c r="B22" t="s">
        <v>52</v>
      </c>
      <c r="C22" t="s">
        <v>15</v>
      </c>
      <c r="D22">
        <v>4</v>
      </c>
      <c r="E22">
        <v>87</v>
      </c>
      <c r="F22">
        <v>83</v>
      </c>
      <c r="G22">
        <v>81</v>
      </c>
      <c r="H22">
        <v>85</v>
      </c>
      <c r="I22" t="s">
        <v>16</v>
      </c>
      <c r="J22">
        <v>6</v>
      </c>
      <c r="K22">
        <v>3</v>
      </c>
      <c r="L22">
        <v>249</v>
      </c>
      <c r="M22">
        <v>83</v>
      </c>
      <c r="N22" t="s">
        <v>198</v>
      </c>
      <c r="O22">
        <v>20.75</v>
      </c>
      <c r="P22" t="s">
        <v>16</v>
      </c>
      <c r="Q22" t="s">
        <v>212</v>
      </c>
      <c r="R22" t="s">
        <v>213</v>
      </c>
      <c r="S22" t="s">
        <v>195</v>
      </c>
      <c r="T22" t="s">
        <v>180</v>
      </c>
    </row>
    <row r="23" spans="1:20">
      <c r="A23">
        <v>40</v>
      </c>
      <c r="B23" t="s">
        <v>54</v>
      </c>
      <c r="C23" t="s">
        <v>15</v>
      </c>
      <c r="D23">
        <v>5</v>
      </c>
      <c r="E23">
        <v>92</v>
      </c>
      <c r="F23">
        <v>89</v>
      </c>
      <c r="G23">
        <v>90</v>
      </c>
      <c r="H23">
        <v>93</v>
      </c>
      <c r="I23" t="s">
        <v>13</v>
      </c>
      <c r="J23">
        <v>6</v>
      </c>
      <c r="K23">
        <v>2</v>
      </c>
      <c r="L23">
        <v>272</v>
      </c>
      <c r="M23">
        <v>90.666666666666671</v>
      </c>
      <c r="N23" t="s">
        <v>198</v>
      </c>
      <c r="O23">
        <v>18.133333333333333</v>
      </c>
      <c r="P23" t="s">
        <v>16</v>
      </c>
      <c r="Q23" t="s">
        <v>212</v>
      </c>
      <c r="R23" t="s">
        <v>213</v>
      </c>
      <c r="S23" t="s">
        <v>195</v>
      </c>
      <c r="T23" t="s">
        <v>180</v>
      </c>
    </row>
    <row r="24" spans="1:20">
      <c r="A24">
        <v>42</v>
      </c>
      <c r="B24" t="s">
        <v>56</v>
      </c>
      <c r="C24" t="s">
        <v>15</v>
      </c>
      <c r="D24">
        <v>6</v>
      </c>
      <c r="E24">
        <v>96</v>
      </c>
      <c r="F24">
        <v>93</v>
      </c>
      <c r="G24">
        <v>94</v>
      </c>
      <c r="H24">
        <v>97</v>
      </c>
      <c r="I24" t="s">
        <v>16</v>
      </c>
      <c r="J24">
        <v>6</v>
      </c>
      <c r="K24">
        <v>2</v>
      </c>
      <c r="L24">
        <v>284</v>
      </c>
      <c r="M24">
        <v>94.666666666666671</v>
      </c>
      <c r="N24" t="s">
        <v>198</v>
      </c>
      <c r="O24">
        <v>15.777777777777779</v>
      </c>
      <c r="P24" t="s">
        <v>16</v>
      </c>
      <c r="Q24" t="s">
        <v>212</v>
      </c>
      <c r="R24" t="s">
        <v>213</v>
      </c>
      <c r="S24" t="s">
        <v>195</v>
      </c>
      <c r="T24" t="s">
        <v>180</v>
      </c>
    </row>
    <row r="25" spans="1:20">
      <c r="A25">
        <v>44</v>
      </c>
      <c r="B25" t="s">
        <v>58</v>
      </c>
      <c r="C25" t="s">
        <v>15</v>
      </c>
      <c r="D25">
        <v>4</v>
      </c>
      <c r="E25">
        <v>88</v>
      </c>
      <c r="F25">
        <v>84</v>
      </c>
      <c r="G25">
        <v>83</v>
      </c>
      <c r="H25">
        <v>86</v>
      </c>
      <c r="I25" t="s">
        <v>13</v>
      </c>
      <c r="J25">
        <v>7</v>
      </c>
      <c r="K25">
        <v>3</v>
      </c>
      <c r="L25">
        <v>253</v>
      </c>
      <c r="M25">
        <v>84.333333333333329</v>
      </c>
      <c r="N25" t="s">
        <v>198</v>
      </c>
      <c r="O25">
        <v>21.083333333333332</v>
      </c>
      <c r="P25" t="s">
        <v>16</v>
      </c>
      <c r="Q25" t="s">
        <v>212</v>
      </c>
      <c r="R25" t="s">
        <v>213</v>
      </c>
      <c r="S25" t="s">
        <v>195</v>
      </c>
      <c r="T25" t="s">
        <v>180</v>
      </c>
    </row>
    <row r="26" spans="1:20">
      <c r="A26">
        <v>46</v>
      </c>
      <c r="B26" t="s">
        <v>60</v>
      </c>
      <c r="C26" t="s">
        <v>15</v>
      </c>
      <c r="D26">
        <v>5</v>
      </c>
      <c r="E26">
        <v>91</v>
      </c>
      <c r="F26">
        <v>87</v>
      </c>
      <c r="G26">
        <v>89</v>
      </c>
      <c r="H26">
        <v>90</v>
      </c>
      <c r="I26" t="s">
        <v>13</v>
      </c>
      <c r="J26">
        <v>6</v>
      </c>
      <c r="K26">
        <v>2</v>
      </c>
      <c r="L26">
        <v>266</v>
      </c>
      <c r="M26">
        <v>88.666666666666671</v>
      </c>
      <c r="N26" t="s">
        <v>198</v>
      </c>
      <c r="O26">
        <v>17.733333333333334</v>
      </c>
      <c r="P26" t="s">
        <v>16</v>
      </c>
      <c r="Q26" t="s">
        <v>212</v>
      </c>
      <c r="R26" t="s">
        <v>213</v>
      </c>
      <c r="S26" t="s">
        <v>195</v>
      </c>
      <c r="T26" t="s">
        <v>180</v>
      </c>
    </row>
    <row r="27" spans="1:20">
      <c r="A27">
        <v>48</v>
      </c>
      <c r="B27" t="s">
        <v>62</v>
      </c>
      <c r="C27" t="s">
        <v>15</v>
      </c>
      <c r="D27">
        <v>4</v>
      </c>
      <c r="E27">
        <v>85</v>
      </c>
      <c r="F27">
        <v>81</v>
      </c>
      <c r="G27">
        <v>82</v>
      </c>
      <c r="H27">
        <v>84</v>
      </c>
      <c r="I27" t="s">
        <v>13</v>
      </c>
      <c r="J27">
        <v>7</v>
      </c>
      <c r="K27">
        <v>3</v>
      </c>
      <c r="L27">
        <v>247</v>
      </c>
      <c r="M27">
        <v>82.333333333333329</v>
      </c>
      <c r="N27" t="s">
        <v>198</v>
      </c>
      <c r="O27">
        <v>20.583333333333332</v>
      </c>
      <c r="P27" t="s">
        <v>16</v>
      </c>
      <c r="Q27" t="s">
        <v>212</v>
      </c>
      <c r="R27" t="s">
        <v>213</v>
      </c>
      <c r="S27" t="s">
        <v>195</v>
      </c>
      <c r="T27" t="s">
        <v>180</v>
      </c>
    </row>
    <row r="28" spans="1:20">
      <c r="A28">
        <v>49</v>
      </c>
      <c r="B28" t="s">
        <v>63</v>
      </c>
      <c r="C28" t="s">
        <v>12</v>
      </c>
      <c r="D28">
        <v>6</v>
      </c>
      <c r="E28">
        <v>94</v>
      </c>
      <c r="F28">
        <v>92</v>
      </c>
      <c r="G28">
        <v>91</v>
      </c>
      <c r="H28">
        <v>95</v>
      </c>
      <c r="I28" t="s">
        <v>16</v>
      </c>
      <c r="J28">
        <v>6</v>
      </c>
      <c r="K28">
        <v>2</v>
      </c>
      <c r="L28">
        <v>278</v>
      </c>
      <c r="M28">
        <v>92.666666666666671</v>
      </c>
      <c r="N28" t="s">
        <v>198</v>
      </c>
      <c r="O28">
        <v>15.444444444444445</v>
      </c>
      <c r="P28" t="s">
        <v>16</v>
      </c>
      <c r="Q28" t="s">
        <v>212</v>
      </c>
      <c r="R28" t="s">
        <v>213</v>
      </c>
      <c r="S28" t="s">
        <v>195</v>
      </c>
      <c r="T28" t="s">
        <v>180</v>
      </c>
    </row>
    <row r="29" spans="1:20">
      <c r="A29">
        <v>52</v>
      </c>
      <c r="B29" t="s">
        <v>68</v>
      </c>
      <c r="C29" t="s">
        <v>15</v>
      </c>
      <c r="D29">
        <v>4</v>
      </c>
      <c r="E29">
        <v>88</v>
      </c>
      <c r="F29">
        <v>82</v>
      </c>
      <c r="G29">
        <v>79</v>
      </c>
      <c r="H29">
        <v>85</v>
      </c>
      <c r="I29" t="s">
        <v>13</v>
      </c>
      <c r="J29">
        <v>7</v>
      </c>
      <c r="K29">
        <v>3</v>
      </c>
      <c r="L29">
        <v>246</v>
      </c>
      <c r="M29">
        <v>82</v>
      </c>
      <c r="N29" t="s">
        <v>198</v>
      </c>
      <c r="O29">
        <v>20.5</v>
      </c>
      <c r="P29" t="s">
        <v>16</v>
      </c>
      <c r="Q29" t="s">
        <v>212</v>
      </c>
      <c r="R29" t="s">
        <v>213</v>
      </c>
      <c r="S29" t="s">
        <v>195</v>
      </c>
      <c r="T29" t="s">
        <v>180</v>
      </c>
    </row>
    <row r="30" spans="1:20">
      <c r="A30">
        <v>53</v>
      </c>
      <c r="B30" t="s">
        <v>165</v>
      </c>
      <c r="C30" t="s">
        <v>15</v>
      </c>
      <c r="D30">
        <v>5</v>
      </c>
      <c r="E30">
        <v>90</v>
      </c>
      <c r="F30">
        <v>85</v>
      </c>
      <c r="G30">
        <v>87</v>
      </c>
      <c r="H30">
        <v>89</v>
      </c>
      <c r="I30" t="s">
        <v>13</v>
      </c>
      <c r="J30">
        <v>6</v>
      </c>
      <c r="K30">
        <v>2</v>
      </c>
      <c r="L30">
        <v>261</v>
      </c>
      <c r="M30">
        <v>87</v>
      </c>
      <c r="N30" t="s">
        <v>198</v>
      </c>
      <c r="O30">
        <v>17.399999999999999</v>
      </c>
      <c r="P30" t="s">
        <v>16</v>
      </c>
      <c r="Q30" t="s">
        <v>212</v>
      </c>
      <c r="R30" t="s">
        <v>213</v>
      </c>
      <c r="S30" t="s">
        <v>195</v>
      </c>
      <c r="T30" t="s">
        <v>180</v>
      </c>
    </row>
    <row r="31" spans="1:20">
      <c r="A31">
        <v>54</v>
      </c>
      <c r="B31" t="s">
        <v>71</v>
      </c>
      <c r="C31" t="s">
        <v>12</v>
      </c>
      <c r="D31">
        <v>4</v>
      </c>
      <c r="E31">
        <v>88</v>
      </c>
      <c r="F31">
        <v>82</v>
      </c>
      <c r="G31">
        <v>80</v>
      </c>
      <c r="H31">
        <v>85</v>
      </c>
      <c r="I31" t="s">
        <v>13</v>
      </c>
      <c r="J31">
        <v>7</v>
      </c>
      <c r="K31">
        <v>3</v>
      </c>
      <c r="L31">
        <v>247</v>
      </c>
      <c r="M31">
        <v>82.333333333333329</v>
      </c>
      <c r="N31" t="s">
        <v>198</v>
      </c>
      <c r="O31">
        <v>20.583333333333332</v>
      </c>
      <c r="P31" t="s">
        <v>16</v>
      </c>
      <c r="Q31" t="s">
        <v>212</v>
      </c>
      <c r="R31" t="s">
        <v>213</v>
      </c>
      <c r="S31" t="s">
        <v>195</v>
      </c>
      <c r="T31" t="s">
        <v>180</v>
      </c>
    </row>
    <row r="32" spans="1:20">
      <c r="A32">
        <v>57</v>
      </c>
      <c r="B32" t="s">
        <v>48</v>
      </c>
      <c r="C32" t="s">
        <v>15</v>
      </c>
      <c r="D32">
        <v>5</v>
      </c>
      <c r="E32">
        <v>90</v>
      </c>
      <c r="F32">
        <v>86</v>
      </c>
      <c r="G32">
        <v>88</v>
      </c>
      <c r="H32">
        <v>91</v>
      </c>
      <c r="I32" t="s">
        <v>13</v>
      </c>
      <c r="J32">
        <v>6</v>
      </c>
      <c r="K32">
        <v>2</v>
      </c>
      <c r="L32">
        <v>265</v>
      </c>
      <c r="M32">
        <v>88.333333333333329</v>
      </c>
      <c r="N32" t="s">
        <v>198</v>
      </c>
      <c r="O32">
        <v>17.666666666666664</v>
      </c>
      <c r="P32" t="s">
        <v>16</v>
      </c>
      <c r="Q32" t="s">
        <v>212</v>
      </c>
      <c r="R32" t="s">
        <v>213</v>
      </c>
      <c r="S32" t="s">
        <v>195</v>
      </c>
      <c r="T32" t="s">
        <v>180</v>
      </c>
    </row>
    <row r="33" spans="1:20">
      <c r="A33">
        <v>58</v>
      </c>
      <c r="B33" t="s">
        <v>74</v>
      </c>
      <c r="C33" t="s">
        <v>15</v>
      </c>
      <c r="D33">
        <v>4</v>
      </c>
      <c r="E33">
        <v>85</v>
      </c>
      <c r="F33">
        <v>80</v>
      </c>
      <c r="G33">
        <v>82</v>
      </c>
      <c r="H33">
        <v>84</v>
      </c>
      <c r="I33" t="s">
        <v>13</v>
      </c>
      <c r="J33">
        <v>7</v>
      </c>
      <c r="K33">
        <v>3</v>
      </c>
      <c r="L33">
        <v>246</v>
      </c>
      <c r="M33">
        <v>82</v>
      </c>
      <c r="N33" t="s">
        <v>198</v>
      </c>
      <c r="O33">
        <v>20.5</v>
      </c>
      <c r="P33" t="s">
        <v>16</v>
      </c>
      <c r="Q33" t="s">
        <v>212</v>
      </c>
      <c r="R33" t="s">
        <v>213</v>
      </c>
      <c r="S33" t="s">
        <v>195</v>
      </c>
      <c r="T33" t="s">
        <v>180</v>
      </c>
    </row>
    <row r="34" spans="1:20">
      <c r="A34">
        <v>60</v>
      </c>
      <c r="B34" t="s">
        <v>62</v>
      </c>
      <c r="C34" t="s">
        <v>15</v>
      </c>
      <c r="D34">
        <v>6</v>
      </c>
      <c r="E34">
        <v>95</v>
      </c>
      <c r="F34">
        <v>92</v>
      </c>
      <c r="G34">
        <v>93</v>
      </c>
      <c r="H34">
        <v>96</v>
      </c>
      <c r="I34" t="s">
        <v>16</v>
      </c>
      <c r="J34">
        <v>6</v>
      </c>
      <c r="K34">
        <v>2</v>
      </c>
      <c r="L34">
        <v>281</v>
      </c>
      <c r="M34">
        <v>93.666666666666671</v>
      </c>
      <c r="N34" t="s">
        <v>198</v>
      </c>
      <c r="O34">
        <v>15.611111111111112</v>
      </c>
      <c r="P34" t="s">
        <v>16</v>
      </c>
      <c r="Q34" t="s">
        <v>212</v>
      </c>
      <c r="R34" t="s">
        <v>213</v>
      </c>
      <c r="S34" t="s">
        <v>195</v>
      </c>
      <c r="T34" t="s">
        <v>180</v>
      </c>
    </row>
    <row r="35" spans="1:20">
      <c r="A35">
        <v>65</v>
      </c>
      <c r="B35" t="s">
        <v>80</v>
      </c>
      <c r="C35" t="s">
        <v>15</v>
      </c>
      <c r="D35">
        <v>5</v>
      </c>
      <c r="E35">
        <v>91</v>
      </c>
      <c r="F35">
        <v>87</v>
      </c>
      <c r="G35">
        <v>88</v>
      </c>
      <c r="H35">
        <v>90</v>
      </c>
      <c r="I35" t="s">
        <v>13</v>
      </c>
      <c r="J35">
        <v>6</v>
      </c>
      <c r="K35">
        <v>2</v>
      </c>
      <c r="L35">
        <v>265</v>
      </c>
      <c r="M35">
        <v>88.333333333333329</v>
      </c>
      <c r="N35" t="s">
        <v>198</v>
      </c>
      <c r="O35">
        <v>17.666666666666664</v>
      </c>
      <c r="P35" t="s">
        <v>16</v>
      </c>
      <c r="Q35" t="s">
        <v>212</v>
      </c>
      <c r="R35" t="s">
        <v>213</v>
      </c>
      <c r="S35" t="s">
        <v>195</v>
      </c>
      <c r="T35" t="s">
        <v>180</v>
      </c>
    </row>
    <row r="36" spans="1:20">
      <c r="A36">
        <v>66</v>
      </c>
      <c r="B36" t="s">
        <v>81</v>
      </c>
      <c r="C36" t="s">
        <v>12</v>
      </c>
      <c r="D36">
        <v>4</v>
      </c>
      <c r="E36">
        <v>86</v>
      </c>
      <c r="F36">
        <v>82</v>
      </c>
      <c r="G36">
        <v>80</v>
      </c>
      <c r="H36">
        <v>84</v>
      </c>
      <c r="I36" t="s">
        <v>16</v>
      </c>
      <c r="J36">
        <v>7</v>
      </c>
      <c r="K36">
        <v>3</v>
      </c>
      <c r="L36">
        <v>246</v>
      </c>
      <c r="M36">
        <v>82</v>
      </c>
      <c r="N36" t="s">
        <v>198</v>
      </c>
      <c r="O36">
        <v>20.5</v>
      </c>
      <c r="P36" t="s">
        <v>16</v>
      </c>
      <c r="Q36" t="s">
        <v>212</v>
      </c>
      <c r="R36" t="s">
        <v>213</v>
      </c>
      <c r="S36" t="s">
        <v>195</v>
      </c>
      <c r="T36" t="s">
        <v>180</v>
      </c>
    </row>
    <row r="37" spans="1:20">
      <c r="A37">
        <v>68</v>
      </c>
      <c r="B37" t="s">
        <v>82</v>
      </c>
      <c r="C37" t="s">
        <v>12</v>
      </c>
      <c r="D37">
        <v>6</v>
      </c>
      <c r="E37">
        <v>94</v>
      </c>
      <c r="F37">
        <v>91</v>
      </c>
      <c r="G37">
        <v>90</v>
      </c>
      <c r="H37">
        <v>93</v>
      </c>
      <c r="I37" t="s">
        <v>16</v>
      </c>
      <c r="J37">
        <v>6</v>
      </c>
      <c r="K37">
        <v>2</v>
      </c>
      <c r="L37">
        <v>274</v>
      </c>
      <c r="M37">
        <v>91.333333333333329</v>
      </c>
      <c r="N37" t="s">
        <v>198</v>
      </c>
      <c r="O37">
        <v>15.222222222222221</v>
      </c>
      <c r="P37" t="s">
        <v>16</v>
      </c>
      <c r="Q37" t="s">
        <v>212</v>
      </c>
      <c r="R37" t="s">
        <v>213</v>
      </c>
      <c r="S37" t="s">
        <v>195</v>
      </c>
      <c r="T37" t="s">
        <v>180</v>
      </c>
    </row>
    <row r="38" spans="1:20">
      <c r="A38">
        <v>70</v>
      </c>
      <c r="B38" t="s">
        <v>84</v>
      </c>
      <c r="C38" t="s">
        <v>15</v>
      </c>
      <c r="D38">
        <v>5</v>
      </c>
      <c r="E38">
        <v>90</v>
      </c>
      <c r="F38">
        <v>85</v>
      </c>
      <c r="G38">
        <v>87</v>
      </c>
      <c r="H38">
        <v>89</v>
      </c>
      <c r="I38" t="s">
        <v>13</v>
      </c>
      <c r="J38">
        <v>6</v>
      </c>
      <c r="K38">
        <v>2</v>
      </c>
      <c r="L38">
        <v>261</v>
      </c>
      <c r="M38">
        <v>87</v>
      </c>
      <c r="N38" t="s">
        <v>198</v>
      </c>
      <c r="O38">
        <v>17.399999999999999</v>
      </c>
      <c r="P38" t="s">
        <v>16</v>
      </c>
      <c r="Q38" t="s">
        <v>212</v>
      </c>
      <c r="R38" t="s">
        <v>213</v>
      </c>
      <c r="S38" t="s">
        <v>195</v>
      </c>
      <c r="T38" t="s">
        <v>180</v>
      </c>
    </row>
    <row r="39" spans="1:20">
      <c r="A39">
        <v>72</v>
      </c>
      <c r="B39" t="s">
        <v>86</v>
      </c>
      <c r="C39" t="s">
        <v>15</v>
      </c>
      <c r="D39">
        <v>4</v>
      </c>
      <c r="E39">
        <v>88</v>
      </c>
      <c r="F39">
        <v>84</v>
      </c>
      <c r="G39">
        <v>82</v>
      </c>
      <c r="H39">
        <v>86</v>
      </c>
      <c r="I39" t="s">
        <v>13</v>
      </c>
      <c r="J39">
        <v>7</v>
      </c>
      <c r="K39">
        <v>3</v>
      </c>
      <c r="L39">
        <v>252</v>
      </c>
      <c r="M39">
        <v>84</v>
      </c>
      <c r="N39" t="s">
        <v>198</v>
      </c>
      <c r="O39">
        <v>21</v>
      </c>
      <c r="P39" t="s">
        <v>16</v>
      </c>
      <c r="Q39" t="s">
        <v>212</v>
      </c>
      <c r="R39" t="s">
        <v>213</v>
      </c>
      <c r="S39" t="s">
        <v>195</v>
      </c>
      <c r="T39" t="s">
        <v>180</v>
      </c>
    </row>
    <row r="40" spans="1:20">
      <c r="A40">
        <v>74</v>
      </c>
      <c r="B40" t="s">
        <v>88</v>
      </c>
      <c r="C40" t="s">
        <v>15</v>
      </c>
      <c r="D40">
        <v>5</v>
      </c>
      <c r="E40">
        <v>92</v>
      </c>
      <c r="F40">
        <v>89</v>
      </c>
      <c r="G40">
        <v>90</v>
      </c>
      <c r="H40">
        <v>93</v>
      </c>
      <c r="I40" t="s">
        <v>13</v>
      </c>
      <c r="J40">
        <v>6</v>
      </c>
      <c r="K40">
        <v>2</v>
      </c>
      <c r="L40">
        <v>272</v>
      </c>
      <c r="M40">
        <v>90.666666666666671</v>
      </c>
      <c r="N40" t="s">
        <v>198</v>
      </c>
      <c r="O40">
        <v>18.133333333333333</v>
      </c>
      <c r="P40" t="s">
        <v>16</v>
      </c>
      <c r="Q40" t="s">
        <v>212</v>
      </c>
      <c r="R40" t="s">
        <v>213</v>
      </c>
      <c r="S40" t="s">
        <v>195</v>
      </c>
      <c r="T40" t="s">
        <v>180</v>
      </c>
    </row>
    <row r="41" spans="1:20">
      <c r="A41">
        <v>76</v>
      </c>
      <c r="B41" t="s">
        <v>90</v>
      </c>
      <c r="C41" t="s">
        <v>15</v>
      </c>
      <c r="D41">
        <v>6</v>
      </c>
      <c r="E41">
        <v>96</v>
      </c>
      <c r="F41">
        <v>93</v>
      </c>
      <c r="G41">
        <v>94</v>
      </c>
      <c r="H41">
        <v>97</v>
      </c>
      <c r="I41" t="s">
        <v>16</v>
      </c>
      <c r="J41">
        <v>6</v>
      </c>
      <c r="K41">
        <v>2</v>
      </c>
      <c r="L41">
        <v>284</v>
      </c>
      <c r="M41">
        <v>94.666666666666671</v>
      </c>
      <c r="N41" t="s">
        <v>198</v>
      </c>
      <c r="O41">
        <v>15.777777777777779</v>
      </c>
      <c r="P41" t="s">
        <v>16</v>
      </c>
      <c r="Q41" t="s">
        <v>212</v>
      </c>
      <c r="R41" t="s">
        <v>213</v>
      </c>
      <c r="S41" t="s">
        <v>195</v>
      </c>
      <c r="T41" t="s">
        <v>180</v>
      </c>
    </row>
    <row r="42" spans="1:20">
      <c r="A42">
        <v>79</v>
      </c>
      <c r="B42" t="s">
        <v>93</v>
      </c>
      <c r="C42" t="s">
        <v>15</v>
      </c>
      <c r="D42">
        <v>4</v>
      </c>
      <c r="E42">
        <v>87</v>
      </c>
      <c r="F42">
        <v>83</v>
      </c>
      <c r="G42">
        <v>81</v>
      </c>
      <c r="H42">
        <v>85</v>
      </c>
      <c r="I42" t="s">
        <v>16</v>
      </c>
      <c r="J42">
        <v>6</v>
      </c>
      <c r="K42">
        <v>3</v>
      </c>
      <c r="L42">
        <v>249</v>
      </c>
      <c r="M42">
        <v>83</v>
      </c>
      <c r="N42" t="s">
        <v>198</v>
      </c>
      <c r="O42">
        <v>20.75</v>
      </c>
      <c r="P42" t="s">
        <v>16</v>
      </c>
      <c r="Q42" t="s">
        <v>212</v>
      </c>
      <c r="R42" t="s">
        <v>213</v>
      </c>
      <c r="S42" t="s">
        <v>195</v>
      </c>
      <c r="T42" t="s">
        <v>180</v>
      </c>
    </row>
    <row r="43" spans="1:20">
      <c r="A43">
        <v>81</v>
      </c>
      <c r="B43" t="s">
        <v>95</v>
      </c>
      <c r="C43" t="s">
        <v>15</v>
      </c>
      <c r="D43">
        <v>5</v>
      </c>
      <c r="E43">
        <v>91</v>
      </c>
      <c r="F43">
        <v>87</v>
      </c>
      <c r="G43">
        <v>89</v>
      </c>
      <c r="H43">
        <v>90</v>
      </c>
      <c r="I43" t="s">
        <v>13</v>
      </c>
      <c r="J43">
        <v>6</v>
      </c>
      <c r="K43">
        <v>2</v>
      </c>
      <c r="L43">
        <v>266</v>
      </c>
      <c r="M43">
        <v>88.666666666666671</v>
      </c>
      <c r="N43" t="s">
        <v>198</v>
      </c>
      <c r="O43">
        <v>17.733333333333334</v>
      </c>
      <c r="P43" t="s">
        <v>16</v>
      </c>
      <c r="Q43" t="s">
        <v>212</v>
      </c>
      <c r="R43" t="s">
        <v>213</v>
      </c>
      <c r="S43" t="s">
        <v>195</v>
      </c>
      <c r="T43" t="s">
        <v>180</v>
      </c>
    </row>
    <row r="44" spans="1:20">
      <c r="A44">
        <v>83</v>
      </c>
      <c r="B44" t="s">
        <v>97</v>
      </c>
      <c r="C44" t="s">
        <v>12</v>
      </c>
      <c r="D44">
        <v>6</v>
      </c>
      <c r="E44">
        <v>94</v>
      </c>
      <c r="F44">
        <v>92</v>
      </c>
      <c r="G44">
        <v>91</v>
      </c>
      <c r="H44">
        <v>95</v>
      </c>
      <c r="I44" t="s">
        <v>16</v>
      </c>
      <c r="J44">
        <v>6</v>
      </c>
      <c r="K44">
        <v>2</v>
      </c>
      <c r="L44">
        <v>278</v>
      </c>
      <c r="M44">
        <v>92.666666666666671</v>
      </c>
      <c r="N44" t="s">
        <v>198</v>
      </c>
      <c r="O44">
        <v>15.444444444444445</v>
      </c>
      <c r="P44" t="s">
        <v>16</v>
      </c>
      <c r="Q44" t="s">
        <v>212</v>
      </c>
      <c r="R44" t="s">
        <v>213</v>
      </c>
      <c r="S44" t="s">
        <v>195</v>
      </c>
      <c r="T44" t="s">
        <v>180</v>
      </c>
    </row>
    <row r="45" spans="1:20">
      <c r="A45">
        <v>85</v>
      </c>
      <c r="B45" t="s">
        <v>99</v>
      </c>
      <c r="C45" t="s">
        <v>12</v>
      </c>
      <c r="D45">
        <v>4</v>
      </c>
      <c r="E45">
        <v>85</v>
      </c>
      <c r="F45">
        <v>80</v>
      </c>
      <c r="G45">
        <v>82</v>
      </c>
      <c r="H45">
        <v>84</v>
      </c>
      <c r="I45" t="s">
        <v>13</v>
      </c>
      <c r="J45">
        <v>7</v>
      </c>
      <c r="K45">
        <v>3</v>
      </c>
      <c r="L45">
        <v>246</v>
      </c>
      <c r="M45">
        <v>82</v>
      </c>
      <c r="N45" t="s">
        <v>198</v>
      </c>
      <c r="O45">
        <v>20.5</v>
      </c>
      <c r="P45" t="s">
        <v>16</v>
      </c>
      <c r="Q45" t="s">
        <v>212</v>
      </c>
      <c r="R45" t="s">
        <v>213</v>
      </c>
      <c r="S45" t="s">
        <v>195</v>
      </c>
      <c r="T45" t="s">
        <v>180</v>
      </c>
    </row>
    <row r="46" spans="1:20">
      <c r="A46">
        <v>86</v>
      </c>
      <c r="B46" t="s">
        <v>100</v>
      </c>
      <c r="C46" t="s">
        <v>15</v>
      </c>
      <c r="D46">
        <v>5</v>
      </c>
      <c r="E46">
        <v>90</v>
      </c>
      <c r="F46">
        <v>86</v>
      </c>
      <c r="G46">
        <v>88</v>
      </c>
      <c r="H46">
        <v>89</v>
      </c>
      <c r="I46" t="s">
        <v>13</v>
      </c>
      <c r="J46">
        <v>6</v>
      </c>
      <c r="K46">
        <v>2</v>
      </c>
      <c r="L46">
        <v>263</v>
      </c>
      <c r="M46">
        <v>87.666666666666671</v>
      </c>
      <c r="N46" t="s">
        <v>198</v>
      </c>
      <c r="O46">
        <v>17.533333333333335</v>
      </c>
      <c r="P46" t="s">
        <v>16</v>
      </c>
      <c r="Q46" t="s">
        <v>212</v>
      </c>
      <c r="R46" t="s">
        <v>213</v>
      </c>
      <c r="S46" t="s">
        <v>195</v>
      </c>
      <c r="T46" t="s">
        <v>180</v>
      </c>
    </row>
    <row r="47" spans="1:20">
      <c r="A47">
        <v>88</v>
      </c>
      <c r="B47" t="s">
        <v>102</v>
      </c>
      <c r="C47" t="s">
        <v>15</v>
      </c>
      <c r="D47">
        <v>4</v>
      </c>
      <c r="E47">
        <v>88</v>
      </c>
      <c r="F47">
        <v>84</v>
      </c>
      <c r="G47">
        <v>83</v>
      </c>
      <c r="H47">
        <v>86</v>
      </c>
      <c r="I47" t="s">
        <v>13</v>
      </c>
      <c r="J47">
        <v>7</v>
      </c>
      <c r="K47">
        <v>3</v>
      </c>
      <c r="L47">
        <v>253</v>
      </c>
      <c r="M47">
        <v>84.333333333333329</v>
      </c>
      <c r="N47" t="s">
        <v>198</v>
      </c>
      <c r="O47">
        <v>21.083333333333332</v>
      </c>
      <c r="P47" t="s">
        <v>16</v>
      </c>
      <c r="Q47" t="s">
        <v>212</v>
      </c>
      <c r="R47" t="s">
        <v>213</v>
      </c>
      <c r="S47" t="s">
        <v>195</v>
      </c>
      <c r="T47" t="s">
        <v>180</v>
      </c>
    </row>
    <row r="48" spans="1:20">
      <c r="A48">
        <v>90</v>
      </c>
      <c r="B48" t="s">
        <v>104</v>
      </c>
      <c r="C48" t="s">
        <v>15</v>
      </c>
      <c r="D48">
        <v>5</v>
      </c>
      <c r="E48">
        <v>91</v>
      </c>
      <c r="F48">
        <v>87</v>
      </c>
      <c r="G48">
        <v>88</v>
      </c>
      <c r="H48">
        <v>90</v>
      </c>
      <c r="I48" t="s">
        <v>13</v>
      </c>
      <c r="J48">
        <v>6</v>
      </c>
      <c r="K48">
        <v>2</v>
      </c>
      <c r="L48">
        <v>265</v>
      </c>
      <c r="M48">
        <v>88.333333333333329</v>
      </c>
      <c r="N48" t="s">
        <v>198</v>
      </c>
      <c r="O48">
        <v>17.666666666666664</v>
      </c>
      <c r="P48" t="s">
        <v>16</v>
      </c>
      <c r="Q48" t="s">
        <v>212</v>
      </c>
      <c r="R48" t="s">
        <v>213</v>
      </c>
      <c r="S48" t="s">
        <v>195</v>
      </c>
      <c r="T48" t="s">
        <v>180</v>
      </c>
    </row>
    <row r="49" spans="1:20">
      <c r="A49">
        <v>92</v>
      </c>
      <c r="B49" t="s">
        <v>106</v>
      </c>
      <c r="C49" t="s">
        <v>15</v>
      </c>
      <c r="D49">
        <v>4</v>
      </c>
      <c r="E49">
        <v>85</v>
      </c>
      <c r="F49">
        <v>81</v>
      </c>
      <c r="G49">
        <v>82</v>
      </c>
      <c r="H49">
        <v>84</v>
      </c>
      <c r="I49" t="s">
        <v>13</v>
      </c>
      <c r="J49">
        <v>7</v>
      </c>
      <c r="K49">
        <v>3</v>
      </c>
      <c r="L49">
        <v>247</v>
      </c>
      <c r="M49">
        <v>82.333333333333329</v>
      </c>
      <c r="N49" t="s">
        <v>198</v>
      </c>
      <c r="O49">
        <v>20.583333333333332</v>
      </c>
      <c r="P49" t="s">
        <v>16</v>
      </c>
      <c r="Q49" t="s">
        <v>212</v>
      </c>
      <c r="R49" t="s">
        <v>213</v>
      </c>
      <c r="S49" t="s">
        <v>195</v>
      </c>
      <c r="T49" t="s">
        <v>180</v>
      </c>
    </row>
    <row r="50" spans="1:20">
      <c r="A50">
        <v>93</v>
      </c>
      <c r="B50" t="s">
        <v>107</v>
      </c>
      <c r="C50" t="s">
        <v>12</v>
      </c>
      <c r="D50">
        <v>6</v>
      </c>
      <c r="E50">
        <v>94</v>
      </c>
      <c r="F50">
        <v>91</v>
      </c>
      <c r="G50">
        <v>90</v>
      </c>
      <c r="H50">
        <v>92</v>
      </c>
      <c r="I50" t="s">
        <v>16</v>
      </c>
      <c r="J50">
        <v>6</v>
      </c>
      <c r="K50">
        <v>2</v>
      </c>
      <c r="L50">
        <v>273</v>
      </c>
      <c r="M50">
        <v>91</v>
      </c>
      <c r="N50" t="s">
        <v>198</v>
      </c>
      <c r="O50">
        <v>15.166666666666666</v>
      </c>
      <c r="P50" t="s">
        <v>16</v>
      </c>
      <c r="Q50" t="s">
        <v>212</v>
      </c>
      <c r="R50" t="s">
        <v>213</v>
      </c>
      <c r="S50" t="s">
        <v>195</v>
      </c>
      <c r="T50" t="s">
        <v>180</v>
      </c>
    </row>
    <row r="51" spans="1:20">
      <c r="A51">
        <v>96</v>
      </c>
      <c r="B51" t="s">
        <v>110</v>
      </c>
      <c r="C51" t="s">
        <v>15</v>
      </c>
      <c r="D51">
        <v>5</v>
      </c>
      <c r="E51">
        <v>90</v>
      </c>
      <c r="F51">
        <v>86</v>
      </c>
      <c r="G51">
        <v>88</v>
      </c>
      <c r="H51">
        <v>89</v>
      </c>
      <c r="I51" t="s">
        <v>13</v>
      </c>
      <c r="J51">
        <v>6</v>
      </c>
      <c r="K51">
        <v>2</v>
      </c>
      <c r="L51">
        <v>263</v>
      </c>
      <c r="M51">
        <v>87.666666666666671</v>
      </c>
      <c r="N51" t="s">
        <v>198</v>
      </c>
      <c r="O51">
        <v>17.533333333333335</v>
      </c>
      <c r="P51" t="s">
        <v>16</v>
      </c>
      <c r="Q51" t="s">
        <v>212</v>
      </c>
      <c r="R51" t="s">
        <v>213</v>
      </c>
      <c r="S51" t="s">
        <v>195</v>
      </c>
      <c r="T51" t="s">
        <v>180</v>
      </c>
    </row>
    <row r="52" spans="1:20">
      <c r="A52">
        <v>98</v>
      </c>
      <c r="B52" t="s">
        <v>112</v>
      </c>
      <c r="C52" t="s">
        <v>15</v>
      </c>
      <c r="D52">
        <v>4</v>
      </c>
      <c r="E52">
        <v>87</v>
      </c>
      <c r="F52">
        <v>83</v>
      </c>
      <c r="G52">
        <v>81</v>
      </c>
      <c r="H52">
        <v>85</v>
      </c>
      <c r="I52" t="s">
        <v>16</v>
      </c>
      <c r="J52">
        <v>6</v>
      </c>
      <c r="K52">
        <v>3</v>
      </c>
      <c r="L52">
        <v>249</v>
      </c>
      <c r="M52">
        <v>83</v>
      </c>
      <c r="N52" t="s">
        <v>198</v>
      </c>
      <c r="O52">
        <v>20.75</v>
      </c>
      <c r="P52" t="s">
        <v>16</v>
      </c>
      <c r="Q52" t="s">
        <v>212</v>
      </c>
      <c r="R52" t="s">
        <v>213</v>
      </c>
      <c r="S52" t="s">
        <v>195</v>
      </c>
      <c r="T52" t="s">
        <v>180</v>
      </c>
    </row>
    <row r="53" spans="1:20">
      <c r="A53">
        <v>100</v>
      </c>
      <c r="B53" t="s">
        <v>114</v>
      </c>
      <c r="C53" t="s">
        <v>15</v>
      </c>
      <c r="D53">
        <v>5</v>
      </c>
      <c r="E53">
        <v>92</v>
      </c>
      <c r="F53">
        <v>89</v>
      </c>
      <c r="G53">
        <v>90</v>
      </c>
      <c r="H53">
        <v>93</v>
      </c>
      <c r="I53" t="s">
        <v>13</v>
      </c>
      <c r="J53">
        <v>6</v>
      </c>
      <c r="K53">
        <v>2</v>
      </c>
      <c r="L53">
        <v>272</v>
      </c>
      <c r="M53">
        <v>90.666666666666671</v>
      </c>
      <c r="N53" t="s">
        <v>198</v>
      </c>
      <c r="O53">
        <v>18.133333333333333</v>
      </c>
      <c r="P53" t="s">
        <v>16</v>
      </c>
      <c r="Q53" t="s">
        <v>212</v>
      </c>
      <c r="R53" t="s">
        <v>213</v>
      </c>
      <c r="S53" t="s">
        <v>195</v>
      </c>
      <c r="T53" t="s">
        <v>180</v>
      </c>
    </row>
    <row r="54" spans="1:20">
      <c r="A54">
        <v>102</v>
      </c>
      <c r="B54" t="s">
        <v>115</v>
      </c>
      <c r="C54" t="s">
        <v>15</v>
      </c>
      <c r="D54">
        <v>4</v>
      </c>
      <c r="E54">
        <v>88</v>
      </c>
      <c r="F54">
        <v>82</v>
      </c>
      <c r="G54">
        <v>79</v>
      </c>
      <c r="H54">
        <v>85</v>
      </c>
      <c r="I54" t="s">
        <v>13</v>
      </c>
      <c r="J54">
        <v>7</v>
      </c>
      <c r="K54">
        <v>3</v>
      </c>
      <c r="L54">
        <v>246</v>
      </c>
      <c r="M54">
        <v>82</v>
      </c>
      <c r="N54" t="s">
        <v>198</v>
      </c>
      <c r="O54">
        <v>20.5</v>
      </c>
      <c r="P54" t="s">
        <v>16</v>
      </c>
      <c r="Q54" t="s">
        <v>212</v>
      </c>
      <c r="R54" t="s">
        <v>213</v>
      </c>
      <c r="S54" t="s">
        <v>195</v>
      </c>
      <c r="T54" t="s">
        <v>180</v>
      </c>
    </row>
    <row r="55" spans="1:20">
      <c r="A55">
        <v>103</v>
      </c>
      <c r="B55" t="s">
        <v>165</v>
      </c>
      <c r="C55" t="s">
        <v>15</v>
      </c>
      <c r="D55">
        <v>5</v>
      </c>
      <c r="E55">
        <v>90</v>
      </c>
      <c r="F55">
        <v>85</v>
      </c>
      <c r="G55">
        <v>87</v>
      </c>
      <c r="H55">
        <v>89</v>
      </c>
      <c r="I55" t="s">
        <v>13</v>
      </c>
      <c r="J55">
        <v>6</v>
      </c>
      <c r="K55">
        <v>2</v>
      </c>
      <c r="L55">
        <v>261</v>
      </c>
      <c r="M55">
        <v>87</v>
      </c>
      <c r="N55" t="s">
        <v>198</v>
      </c>
      <c r="O55">
        <v>17.399999999999999</v>
      </c>
      <c r="P55" t="s">
        <v>16</v>
      </c>
      <c r="Q55" t="s">
        <v>212</v>
      </c>
      <c r="R55" t="s">
        <v>213</v>
      </c>
      <c r="S55" t="s">
        <v>195</v>
      </c>
      <c r="T55" t="s">
        <v>180</v>
      </c>
    </row>
    <row r="56" spans="1:20">
      <c r="A56">
        <v>104</v>
      </c>
      <c r="B56" t="s">
        <v>116</v>
      </c>
      <c r="C56" t="s">
        <v>12</v>
      </c>
      <c r="D56">
        <v>4</v>
      </c>
      <c r="E56">
        <v>86</v>
      </c>
      <c r="F56">
        <v>82</v>
      </c>
      <c r="G56">
        <v>80</v>
      </c>
      <c r="H56">
        <v>84</v>
      </c>
      <c r="I56" t="s">
        <v>13</v>
      </c>
      <c r="J56">
        <v>7</v>
      </c>
      <c r="K56">
        <v>3</v>
      </c>
      <c r="L56">
        <v>246</v>
      </c>
      <c r="M56">
        <v>82</v>
      </c>
      <c r="N56" t="s">
        <v>198</v>
      </c>
      <c r="O56">
        <v>20.5</v>
      </c>
      <c r="P56" t="s">
        <v>16</v>
      </c>
      <c r="Q56" t="s">
        <v>212</v>
      </c>
      <c r="R56" t="s">
        <v>213</v>
      </c>
      <c r="S56" t="s">
        <v>195</v>
      </c>
      <c r="T56" t="s">
        <v>180</v>
      </c>
    </row>
    <row r="57" spans="1:20">
      <c r="A57">
        <v>105</v>
      </c>
      <c r="B57" t="s">
        <v>117</v>
      </c>
      <c r="C57" t="s">
        <v>15</v>
      </c>
      <c r="D57">
        <v>5</v>
      </c>
      <c r="E57">
        <v>91</v>
      </c>
      <c r="F57">
        <v>87</v>
      </c>
      <c r="G57">
        <v>88</v>
      </c>
      <c r="H57">
        <v>90</v>
      </c>
      <c r="I57" t="s">
        <v>13</v>
      </c>
      <c r="J57">
        <v>6</v>
      </c>
      <c r="K57">
        <v>2</v>
      </c>
      <c r="L57">
        <v>265</v>
      </c>
      <c r="M57">
        <v>88.333333333333329</v>
      </c>
      <c r="N57" t="s">
        <v>198</v>
      </c>
      <c r="O57">
        <v>17.666666666666664</v>
      </c>
      <c r="P57" t="s">
        <v>16</v>
      </c>
      <c r="Q57" t="s">
        <v>212</v>
      </c>
      <c r="R57" t="s">
        <v>213</v>
      </c>
      <c r="S57" t="s">
        <v>195</v>
      </c>
      <c r="T57" t="s">
        <v>180</v>
      </c>
    </row>
    <row r="58" spans="1:20">
      <c r="A58">
        <v>107</v>
      </c>
      <c r="B58" t="s">
        <v>119</v>
      </c>
      <c r="C58" t="s">
        <v>15</v>
      </c>
      <c r="D58">
        <v>4</v>
      </c>
      <c r="E58">
        <v>87</v>
      </c>
      <c r="F58">
        <v>83</v>
      </c>
      <c r="G58">
        <v>81</v>
      </c>
      <c r="H58">
        <v>85</v>
      </c>
      <c r="I58" t="s">
        <v>13</v>
      </c>
      <c r="J58">
        <v>6</v>
      </c>
      <c r="K58">
        <v>3</v>
      </c>
      <c r="L58">
        <v>249</v>
      </c>
      <c r="M58">
        <v>83</v>
      </c>
      <c r="N58" t="s">
        <v>198</v>
      </c>
      <c r="O58">
        <v>20.75</v>
      </c>
      <c r="P58" t="s">
        <v>16</v>
      </c>
      <c r="Q58" t="s">
        <v>212</v>
      </c>
      <c r="R58" t="s">
        <v>213</v>
      </c>
      <c r="S58" t="s">
        <v>195</v>
      </c>
      <c r="T58" t="s">
        <v>180</v>
      </c>
    </row>
    <row r="59" spans="1:20">
      <c r="A59">
        <v>109</v>
      </c>
      <c r="B59" t="s">
        <v>121</v>
      </c>
      <c r="C59" t="s">
        <v>15</v>
      </c>
      <c r="D59">
        <v>5</v>
      </c>
      <c r="E59">
        <v>92</v>
      </c>
      <c r="F59">
        <v>88</v>
      </c>
      <c r="G59">
        <v>90</v>
      </c>
      <c r="H59">
        <v>91</v>
      </c>
      <c r="I59" t="s">
        <v>13</v>
      </c>
      <c r="J59">
        <v>6</v>
      </c>
      <c r="K59">
        <v>2</v>
      </c>
      <c r="L59">
        <v>269</v>
      </c>
      <c r="M59">
        <v>89.666666666666671</v>
      </c>
      <c r="N59" t="s">
        <v>198</v>
      </c>
      <c r="O59">
        <v>17.933333333333334</v>
      </c>
      <c r="P59" t="s">
        <v>16</v>
      </c>
      <c r="Q59" t="s">
        <v>212</v>
      </c>
      <c r="R59" t="s">
        <v>213</v>
      </c>
      <c r="S59" t="s">
        <v>195</v>
      </c>
      <c r="T59" t="s">
        <v>180</v>
      </c>
    </row>
    <row r="60" spans="1:20">
      <c r="A60">
        <v>111</v>
      </c>
      <c r="B60" t="s">
        <v>123</v>
      </c>
      <c r="C60" t="s">
        <v>15</v>
      </c>
      <c r="D60">
        <v>4</v>
      </c>
      <c r="E60">
        <v>85</v>
      </c>
      <c r="F60">
        <v>80</v>
      </c>
      <c r="G60">
        <v>82</v>
      </c>
      <c r="H60">
        <v>84</v>
      </c>
      <c r="I60" t="s">
        <v>13</v>
      </c>
      <c r="J60">
        <v>7</v>
      </c>
      <c r="K60">
        <v>3</v>
      </c>
      <c r="L60">
        <v>246</v>
      </c>
      <c r="M60">
        <v>82</v>
      </c>
      <c r="N60" t="s">
        <v>198</v>
      </c>
      <c r="O60">
        <v>20.5</v>
      </c>
      <c r="P60" t="s">
        <v>16</v>
      </c>
      <c r="Q60" t="s">
        <v>212</v>
      </c>
      <c r="R60" t="s">
        <v>213</v>
      </c>
      <c r="S60" t="s">
        <v>195</v>
      </c>
      <c r="T60" t="s">
        <v>180</v>
      </c>
    </row>
    <row r="61" spans="1:20">
      <c r="A61">
        <v>112</v>
      </c>
      <c r="B61" t="s">
        <v>124</v>
      </c>
      <c r="C61" t="s">
        <v>12</v>
      </c>
      <c r="D61">
        <v>6</v>
      </c>
      <c r="E61">
        <v>94</v>
      </c>
      <c r="F61">
        <v>91</v>
      </c>
      <c r="G61">
        <v>90</v>
      </c>
      <c r="H61">
        <v>92</v>
      </c>
      <c r="I61" t="s">
        <v>16</v>
      </c>
      <c r="J61">
        <v>6</v>
      </c>
      <c r="K61">
        <v>2</v>
      </c>
      <c r="L61">
        <v>273</v>
      </c>
      <c r="M61">
        <v>91</v>
      </c>
      <c r="N61" t="s">
        <v>198</v>
      </c>
      <c r="O61">
        <v>15.166666666666666</v>
      </c>
      <c r="P61" t="s">
        <v>16</v>
      </c>
      <c r="Q61" t="s">
        <v>212</v>
      </c>
      <c r="R61" t="s">
        <v>213</v>
      </c>
      <c r="S61" t="s">
        <v>195</v>
      </c>
      <c r="T61" t="s">
        <v>180</v>
      </c>
    </row>
    <row r="62" spans="1:20">
      <c r="A62">
        <v>115</v>
      </c>
      <c r="B62" t="s">
        <v>126</v>
      </c>
      <c r="C62" t="s">
        <v>12</v>
      </c>
      <c r="D62">
        <v>5</v>
      </c>
      <c r="E62">
        <v>90</v>
      </c>
      <c r="F62">
        <v>86</v>
      </c>
      <c r="G62">
        <v>88</v>
      </c>
      <c r="H62">
        <v>89</v>
      </c>
      <c r="I62" t="s">
        <v>13</v>
      </c>
      <c r="J62">
        <v>6</v>
      </c>
      <c r="K62">
        <v>2</v>
      </c>
      <c r="L62">
        <v>263</v>
      </c>
      <c r="M62">
        <v>87.666666666666671</v>
      </c>
      <c r="N62" t="s">
        <v>198</v>
      </c>
      <c r="O62">
        <v>17.533333333333335</v>
      </c>
      <c r="P62" t="s">
        <v>16</v>
      </c>
      <c r="Q62" t="s">
        <v>212</v>
      </c>
      <c r="R62" t="s">
        <v>213</v>
      </c>
      <c r="S62" t="s">
        <v>195</v>
      </c>
      <c r="T62" t="s">
        <v>180</v>
      </c>
    </row>
    <row r="63" spans="1:20">
      <c r="A63">
        <v>116</v>
      </c>
      <c r="B63" t="s">
        <v>127</v>
      </c>
      <c r="C63" t="s">
        <v>15</v>
      </c>
      <c r="D63">
        <v>4</v>
      </c>
      <c r="E63">
        <v>87</v>
      </c>
      <c r="F63">
        <v>83</v>
      </c>
      <c r="G63">
        <v>81</v>
      </c>
      <c r="H63">
        <v>85</v>
      </c>
      <c r="I63" t="s">
        <v>13</v>
      </c>
      <c r="J63">
        <v>6</v>
      </c>
      <c r="K63">
        <v>3</v>
      </c>
      <c r="L63">
        <v>249</v>
      </c>
      <c r="M63">
        <v>83</v>
      </c>
      <c r="N63" t="s">
        <v>198</v>
      </c>
      <c r="O63">
        <v>20.75</v>
      </c>
      <c r="P63" t="s">
        <v>16</v>
      </c>
      <c r="Q63" t="s">
        <v>212</v>
      </c>
      <c r="R63" t="s">
        <v>213</v>
      </c>
      <c r="S63" t="s">
        <v>195</v>
      </c>
      <c r="T63" t="s">
        <v>180</v>
      </c>
    </row>
    <row r="64" spans="1:20">
      <c r="A64">
        <v>118</v>
      </c>
      <c r="B64" t="s">
        <v>129</v>
      </c>
      <c r="C64" t="s">
        <v>15</v>
      </c>
      <c r="D64">
        <v>5</v>
      </c>
      <c r="E64">
        <v>91</v>
      </c>
      <c r="F64">
        <v>87</v>
      </c>
      <c r="G64">
        <v>88</v>
      </c>
      <c r="H64">
        <v>90</v>
      </c>
      <c r="I64" t="s">
        <v>13</v>
      </c>
      <c r="J64">
        <v>6</v>
      </c>
      <c r="K64">
        <v>2</v>
      </c>
      <c r="L64">
        <v>265</v>
      </c>
      <c r="M64">
        <v>88.333333333333329</v>
      </c>
      <c r="N64" t="s">
        <v>198</v>
      </c>
      <c r="O64">
        <v>17.666666666666664</v>
      </c>
      <c r="P64" t="s">
        <v>16</v>
      </c>
      <c r="Q64" t="s">
        <v>212</v>
      </c>
      <c r="R64" t="s">
        <v>213</v>
      </c>
      <c r="S64" t="s">
        <v>195</v>
      </c>
      <c r="T64" t="s">
        <v>180</v>
      </c>
    </row>
    <row r="65" spans="1:20">
      <c r="A65">
        <v>120</v>
      </c>
      <c r="B65" t="s">
        <v>131</v>
      </c>
      <c r="C65" t="s">
        <v>15</v>
      </c>
      <c r="D65">
        <v>4</v>
      </c>
      <c r="E65">
        <v>85</v>
      </c>
      <c r="F65">
        <v>81</v>
      </c>
      <c r="G65">
        <v>82</v>
      </c>
      <c r="H65">
        <v>84</v>
      </c>
      <c r="I65" t="s">
        <v>13</v>
      </c>
      <c r="J65">
        <v>7</v>
      </c>
      <c r="K65">
        <v>3</v>
      </c>
      <c r="L65">
        <v>247</v>
      </c>
      <c r="M65">
        <v>82.333333333333329</v>
      </c>
      <c r="N65" t="s">
        <v>198</v>
      </c>
      <c r="O65">
        <v>20.583333333333332</v>
      </c>
      <c r="P65" t="s">
        <v>16</v>
      </c>
      <c r="Q65" t="s">
        <v>212</v>
      </c>
      <c r="R65" t="s">
        <v>213</v>
      </c>
      <c r="S65" t="s">
        <v>195</v>
      </c>
      <c r="T65" t="s">
        <v>180</v>
      </c>
    </row>
    <row r="66" spans="1:20">
      <c r="A66">
        <v>121</v>
      </c>
      <c r="B66" t="s">
        <v>132</v>
      </c>
      <c r="C66" t="s">
        <v>12</v>
      </c>
      <c r="D66">
        <v>6</v>
      </c>
      <c r="E66">
        <v>94</v>
      </c>
      <c r="F66">
        <v>92</v>
      </c>
      <c r="G66">
        <v>91</v>
      </c>
      <c r="H66">
        <v>95</v>
      </c>
      <c r="I66" t="s">
        <v>16</v>
      </c>
      <c r="J66">
        <v>6</v>
      </c>
      <c r="K66">
        <v>2</v>
      </c>
      <c r="L66">
        <v>278</v>
      </c>
      <c r="M66">
        <v>92.666666666666671</v>
      </c>
      <c r="N66" t="s">
        <v>198</v>
      </c>
      <c r="O66">
        <v>15.444444444444445</v>
      </c>
      <c r="P66" t="s">
        <v>16</v>
      </c>
      <c r="Q66" t="s">
        <v>212</v>
      </c>
      <c r="R66" t="s">
        <v>213</v>
      </c>
      <c r="S66" t="s">
        <v>195</v>
      </c>
      <c r="T66" t="s">
        <v>180</v>
      </c>
    </row>
    <row r="67" spans="1:20">
      <c r="A67">
        <v>123</v>
      </c>
      <c r="B67" t="s">
        <v>134</v>
      </c>
      <c r="C67" t="s">
        <v>12</v>
      </c>
      <c r="D67">
        <v>4</v>
      </c>
      <c r="E67">
        <v>85</v>
      </c>
      <c r="F67">
        <v>80</v>
      </c>
      <c r="G67">
        <v>82</v>
      </c>
      <c r="H67">
        <v>84</v>
      </c>
      <c r="I67" t="s">
        <v>13</v>
      </c>
      <c r="J67">
        <v>7</v>
      </c>
      <c r="K67">
        <v>3</v>
      </c>
      <c r="L67">
        <v>246</v>
      </c>
      <c r="M67">
        <v>82</v>
      </c>
      <c r="N67" t="s">
        <v>198</v>
      </c>
      <c r="O67">
        <v>20.5</v>
      </c>
      <c r="P67" t="s">
        <v>16</v>
      </c>
      <c r="Q67" t="s">
        <v>212</v>
      </c>
      <c r="R67" t="s">
        <v>213</v>
      </c>
      <c r="S67" t="s">
        <v>195</v>
      </c>
      <c r="T67" t="s">
        <v>180</v>
      </c>
    </row>
    <row r="68" spans="1:20">
      <c r="A68">
        <v>124</v>
      </c>
      <c r="B68" t="s">
        <v>28</v>
      </c>
      <c r="C68" t="s">
        <v>15</v>
      </c>
      <c r="D68">
        <v>5</v>
      </c>
      <c r="E68">
        <v>90</v>
      </c>
      <c r="F68">
        <v>86</v>
      </c>
      <c r="G68">
        <v>88</v>
      </c>
      <c r="H68">
        <v>89</v>
      </c>
      <c r="I68" t="s">
        <v>13</v>
      </c>
      <c r="J68">
        <v>6</v>
      </c>
      <c r="K68">
        <v>2</v>
      </c>
      <c r="L68">
        <v>263</v>
      </c>
      <c r="M68">
        <v>87.666666666666671</v>
      </c>
      <c r="N68" t="s">
        <v>198</v>
      </c>
      <c r="O68">
        <v>17.533333333333335</v>
      </c>
      <c r="P68" t="s">
        <v>16</v>
      </c>
      <c r="Q68" t="s">
        <v>212</v>
      </c>
      <c r="R68" t="s">
        <v>213</v>
      </c>
      <c r="S68" t="s">
        <v>195</v>
      </c>
      <c r="T68" t="s">
        <v>180</v>
      </c>
    </row>
    <row r="69" spans="1:20">
      <c r="A69">
        <v>126</v>
      </c>
      <c r="B69" t="s">
        <v>136</v>
      </c>
      <c r="C69" t="s">
        <v>15</v>
      </c>
      <c r="D69">
        <v>4</v>
      </c>
      <c r="E69">
        <v>88</v>
      </c>
      <c r="F69">
        <v>84</v>
      </c>
      <c r="G69">
        <v>83</v>
      </c>
      <c r="H69">
        <v>86</v>
      </c>
      <c r="I69" t="s">
        <v>13</v>
      </c>
      <c r="J69">
        <v>7</v>
      </c>
      <c r="K69">
        <v>3</v>
      </c>
      <c r="L69">
        <v>253</v>
      </c>
      <c r="M69">
        <v>84.333333333333329</v>
      </c>
      <c r="N69" t="s">
        <v>198</v>
      </c>
      <c r="O69">
        <v>21.083333333333332</v>
      </c>
      <c r="P69" t="s">
        <v>16</v>
      </c>
      <c r="Q69" t="s">
        <v>212</v>
      </c>
      <c r="R69" t="s">
        <v>213</v>
      </c>
      <c r="S69" t="s">
        <v>195</v>
      </c>
      <c r="T69" t="s">
        <v>180</v>
      </c>
    </row>
    <row r="70" spans="1:20">
      <c r="A70">
        <v>128</v>
      </c>
      <c r="B70" t="s">
        <v>138</v>
      </c>
      <c r="C70" t="s">
        <v>15</v>
      </c>
      <c r="D70">
        <v>5</v>
      </c>
      <c r="E70">
        <v>91</v>
      </c>
      <c r="F70">
        <v>87</v>
      </c>
      <c r="G70">
        <v>88</v>
      </c>
      <c r="H70">
        <v>90</v>
      </c>
      <c r="I70" t="s">
        <v>13</v>
      </c>
      <c r="J70">
        <v>6</v>
      </c>
      <c r="K70">
        <v>2</v>
      </c>
      <c r="L70">
        <v>265</v>
      </c>
      <c r="M70">
        <v>88.333333333333329</v>
      </c>
      <c r="N70" t="s">
        <v>198</v>
      </c>
      <c r="O70">
        <v>17.666666666666664</v>
      </c>
      <c r="P70" t="s">
        <v>16</v>
      </c>
      <c r="Q70" t="s">
        <v>212</v>
      </c>
      <c r="R70" t="s">
        <v>213</v>
      </c>
      <c r="S70" t="s">
        <v>195</v>
      </c>
      <c r="T70" t="s">
        <v>180</v>
      </c>
    </row>
    <row r="71" spans="1:20">
      <c r="A71">
        <v>130</v>
      </c>
      <c r="B71" t="s">
        <v>140</v>
      </c>
      <c r="C71" t="s">
        <v>15</v>
      </c>
      <c r="D71">
        <v>4</v>
      </c>
      <c r="E71">
        <v>85</v>
      </c>
      <c r="F71">
        <v>81</v>
      </c>
      <c r="G71">
        <v>82</v>
      </c>
      <c r="H71">
        <v>84</v>
      </c>
      <c r="I71" t="s">
        <v>13</v>
      </c>
      <c r="J71">
        <v>7</v>
      </c>
      <c r="K71">
        <v>3</v>
      </c>
      <c r="L71">
        <v>247</v>
      </c>
      <c r="M71">
        <v>82.333333333333329</v>
      </c>
      <c r="N71" t="s">
        <v>198</v>
      </c>
      <c r="O71">
        <v>20.583333333333332</v>
      </c>
      <c r="P71" t="s">
        <v>16</v>
      </c>
      <c r="Q71" t="s">
        <v>212</v>
      </c>
      <c r="R71" t="s">
        <v>213</v>
      </c>
      <c r="S71" t="s">
        <v>195</v>
      </c>
      <c r="T71" t="s">
        <v>180</v>
      </c>
    </row>
    <row r="72" spans="1:20">
      <c r="A72">
        <v>131</v>
      </c>
      <c r="B72" t="s">
        <v>141</v>
      </c>
      <c r="C72" t="s">
        <v>12</v>
      </c>
      <c r="D72">
        <v>6</v>
      </c>
      <c r="E72">
        <v>94</v>
      </c>
      <c r="F72">
        <v>91</v>
      </c>
      <c r="G72">
        <v>90</v>
      </c>
      <c r="H72">
        <v>92</v>
      </c>
      <c r="I72" t="s">
        <v>16</v>
      </c>
      <c r="J72">
        <v>6</v>
      </c>
      <c r="K72">
        <v>2</v>
      </c>
      <c r="L72">
        <v>273</v>
      </c>
      <c r="M72">
        <v>91</v>
      </c>
      <c r="N72" t="s">
        <v>198</v>
      </c>
      <c r="O72">
        <v>15.166666666666666</v>
      </c>
      <c r="P72" t="s">
        <v>16</v>
      </c>
      <c r="Q72" t="s">
        <v>212</v>
      </c>
      <c r="R72" t="s">
        <v>213</v>
      </c>
      <c r="S72" t="s">
        <v>195</v>
      </c>
      <c r="T72" t="s">
        <v>180</v>
      </c>
    </row>
    <row r="73" spans="1:20">
      <c r="A73">
        <v>133</v>
      </c>
      <c r="B73" t="s">
        <v>143</v>
      </c>
      <c r="C73" t="s">
        <v>15</v>
      </c>
      <c r="D73">
        <v>5</v>
      </c>
      <c r="E73">
        <v>90</v>
      </c>
      <c r="F73">
        <v>86</v>
      </c>
      <c r="G73">
        <v>88</v>
      </c>
      <c r="H73">
        <v>89</v>
      </c>
      <c r="I73" t="s">
        <v>13</v>
      </c>
      <c r="J73">
        <v>6</v>
      </c>
      <c r="K73">
        <v>2</v>
      </c>
      <c r="L73">
        <v>263</v>
      </c>
      <c r="M73">
        <v>87.666666666666671</v>
      </c>
      <c r="N73" t="s">
        <v>198</v>
      </c>
      <c r="O73">
        <v>17.533333333333335</v>
      </c>
      <c r="P73" t="s">
        <v>16</v>
      </c>
      <c r="Q73" t="s">
        <v>212</v>
      </c>
      <c r="R73" t="s">
        <v>213</v>
      </c>
      <c r="S73" t="s">
        <v>195</v>
      </c>
      <c r="T73" t="s">
        <v>180</v>
      </c>
    </row>
    <row r="74" spans="1:20">
      <c r="A74">
        <v>135</v>
      </c>
      <c r="B74" t="s">
        <v>144</v>
      </c>
      <c r="C74" t="s">
        <v>15</v>
      </c>
      <c r="D74">
        <v>4</v>
      </c>
      <c r="E74">
        <v>87</v>
      </c>
      <c r="F74">
        <v>83</v>
      </c>
      <c r="G74">
        <v>81</v>
      </c>
      <c r="H74">
        <v>85</v>
      </c>
      <c r="I74" t="s">
        <v>13</v>
      </c>
      <c r="J74">
        <v>6</v>
      </c>
      <c r="K74">
        <v>3</v>
      </c>
      <c r="L74">
        <v>249</v>
      </c>
      <c r="M74">
        <v>83</v>
      </c>
      <c r="N74" t="s">
        <v>198</v>
      </c>
      <c r="O74">
        <v>20.75</v>
      </c>
      <c r="P74" t="s">
        <v>16</v>
      </c>
      <c r="Q74" t="s">
        <v>212</v>
      </c>
      <c r="R74" t="s">
        <v>213</v>
      </c>
      <c r="S74" t="s">
        <v>195</v>
      </c>
      <c r="T74" t="s">
        <v>180</v>
      </c>
    </row>
    <row r="75" spans="1:20">
      <c r="A75">
        <v>137</v>
      </c>
      <c r="B75" t="s">
        <v>146</v>
      </c>
      <c r="C75" t="s">
        <v>15</v>
      </c>
      <c r="D75">
        <v>5</v>
      </c>
      <c r="E75">
        <v>92</v>
      </c>
      <c r="F75">
        <v>88</v>
      </c>
      <c r="G75">
        <v>90</v>
      </c>
      <c r="H75">
        <v>91</v>
      </c>
      <c r="I75" t="s">
        <v>13</v>
      </c>
      <c r="J75">
        <v>6</v>
      </c>
      <c r="K75">
        <v>2</v>
      </c>
      <c r="L75">
        <v>269</v>
      </c>
      <c r="M75">
        <v>89.666666666666671</v>
      </c>
      <c r="N75" t="s">
        <v>198</v>
      </c>
      <c r="O75">
        <v>17.933333333333334</v>
      </c>
      <c r="P75" t="s">
        <v>16</v>
      </c>
      <c r="Q75" t="s">
        <v>212</v>
      </c>
      <c r="R75" t="s">
        <v>213</v>
      </c>
      <c r="S75" t="s">
        <v>195</v>
      </c>
      <c r="T75" t="s">
        <v>180</v>
      </c>
    </row>
    <row r="76" spans="1:20">
      <c r="A76">
        <v>139</v>
      </c>
      <c r="B76" t="s">
        <v>148</v>
      </c>
      <c r="C76" t="s">
        <v>15</v>
      </c>
      <c r="D76">
        <v>4</v>
      </c>
      <c r="E76">
        <v>85</v>
      </c>
      <c r="F76">
        <v>80</v>
      </c>
      <c r="G76">
        <v>82</v>
      </c>
      <c r="H76">
        <v>84</v>
      </c>
      <c r="I76" t="s">
        <v>13</v>
      </c>
      <c r="J76">
        <v>7</v>
      </c>
      <c r="K76">
        <v>3</v>
      </c>
      <c r="L76">
        <v>246</v>
      </c>
      <c r="M76">
        <v>82</v>
      </c>
      <c r="N76" t="s">
        <v>198</v>
      </c>
      <c r="O76">
        <v>20.5</v>
      </c>
      <c r="P76" t="s">
        <v>16</v>
      </c>
      <c r="Q76" t="s">
        <v>212</v>
      </c>
      <c r="R76" t="s">
        <v>213</v>
      </c>
      <c r="S76" t="s">
        <v>195</v>
      </c>
      <c r="T76" t="s">
        <v>180</v>
      </c>
    </row>
    <row r="77" spans="1:20">
      <c r="A77">
        <v>140</v>
      </c>
      <c r="B77" t="s">
        <v>149</v>
      </c>
      <c r="C77" t="s">
        <v>12</v>
      </c>
      <c r="D77">
        <v>6</v>
      </c>
      <c r="E77">
        <v>94</v>
      </c>
      <c r="F77">
        <v>91</v>
      </c>
      <c r="G77">
        <v>90</v>
      </c>
      <c r="H77">
        <v>92</v>
      </c>
      <c r="I77" t="s">
        <v>16</v>
      </c>
      <c r="J77">
        <v>6</v>
      </c>
      <c r="K77">
        <v>2</v>
      </c>
      <c r="L77">
        <v>273</v>
      </c>
      <c r="M77">
        <v>91</v>
      </c>
      <c r="N77" t="s">
        <v>198</v>
      </c>
      <c r="O77">
        <v>15.166666666666666</v>
      </c>
      <c r="P77" t="s">
        <v>16</v>
      </c>
      <c r="Q77" t="s">
        <v>212</v>
      </c>
      <c r="R77" t="s">
        <v>213</v>
      </c>
      <c r="S77" t="s">
        <v>195</v>
      </c>
      <c r="T77" t="s">
        <v>180</v>
      </c>
    </row>
    <row r="78" spans="1:20">
      <c r="A78">
        <v>143</v>
      </c>
      <c r="B78" t="s">
        <v>114</v>
      </c>
      <c r="C78" t="s">
        <v>15</v>
      </c>
      <c r="D78">
        <v>5</v>
      </c>
      <c r="E78">
        <v>90</v>
      </c>
      <c r="F78">
        <v>86</v>
      </c>
      <c r="G78">
        <v>88</v>
      </c>
      <c r="H78">
        <v>89</v>
      </c>
      <c r="I78" t="s">
        <v>13</v>
      </c>
      <c r="J78">
        <v>6</v>
      </c>
      <c r="K78">
        <v>2</v>
      </c>
      <c r="L78">
        <v>263</v>
      </c>
      <c r="M78">
        <v>87.666666666666671</v>
      </c>
      <c r="N78" t="s">
        <v>198</v>
      </c>
      <c r="O78">
        <v>17.533333333333335</v>
      </c>
      <c r="P78" t="s">
        <v>16</v>
      </c>
      <c r="Q78" t="s">
        <v>212</v>
      </c>
      <c r="R78" t="s">
        <v>213</v>
      </c>
      <c r="S78" t="s">
        <v>195</v>
      </c>
      <c r="T78" t="s">
        <v>180</v>
      </c>
    </row>
    <row r="79" spans="1:20">
      <c r="A79">
        <v>145</v>
      </c>
      <c r="B79" t="s">
        <v>153</v>
      </c>
      <c r="C79" t="s">
        <v>15</v>
      </c>
      <c r="D79">
        <v>4</v>
      </c>
      <c r="E79">
        <v>87</v>
      </c>
      <c r="F79">
        <v>83</v>
      </c>
      <c r="G79">
        <v>81</v>
      </c>
      <c r="H79">
        <v>85</v>
      </c>
      <c r="I79" t="s">
        <v>13</v>
      </c>
      <c r="J79">
        <v>6</v>
      </c>
      <c r="K79">
        <v>3</v>
      </c>
      <c r="L79">
        <v>249</v>
      </c>
      <c r="M79">
        <v>83</v>
      </c>
      <c r="N79" t="s">
        <v>198</v>
      </c>
      <c r="O79">
        <v>20.75</v>
      </c>
      <c r="P79" t="s">
        <v>16</v>
      </c>
      <c r="Q79" t="s">
        <v>212</v>
      </c>
      <c r="R79" t="s">
        <v>213</v>
      </c>
      <c r="S79" t="s">
        <v>195</v>
      </c>
      <c r="T79" t="s">
        <v>180</v>
      </c>
    </row>
    <row r="80" spans="1:20">
      <c r="A80">
        <v>147</v>
      </c>
      <c r="B80" t="s">
        <v>154</v>
      </c>
      <c r="C80" t="s">
        <v>15</v>
      </c>
      <c r="D80">
        <v>5</v>
      </c>
      <c r="E80">
        <v>92</v>
      </c>
      <c r="F80">
        <v>88</v>
      </c>
      <c r="G80">
        <v>90</v>
      </c>
      <c r="H80">
        <v>91</v>
      </c>
      <c r="I80" t="s">
        <v>13</v>
      </c>
      <c r="J80">
        <v>6</v>
      </c>
      <c r="K80">
        <v>2</v>
      </c>
      <c r="L80">
        <v>269</v>
      </c>
      <c r="M80">
        <v>89.666666666666671</v>
      </c>
      <c r="N80" t="s">
        <v>198</v>
      </c>
      <c r="O80">
        <v>17.933333333333334</v>
      </c>
      <c r="P80" t="s">
        <v>16</v>
      </c>
      <c r="Q80" t="s">
        <v>212</v>
      </c>
      <c r="R80" t="s">
        <v>213</v>
      </c>
      <c r="S80" t="s">
        <v>195</v>
      </c>
      <c r="T80" t="s">
        <v>180</v>
      </c>
    </row>
    <row r="81" spans="1:20">
      <c r="A81">
        <v>149</v>
      </c>
      <c r="B81" t="s">
        <v>155</v>
      </c>
      <c r="C81" t="s">
        <v>15</v>
      </c>
      <c r="D81">
        <v>4</v>
      </c>
      <c r="E81">
        <v>85</v>
      </c>
      <c r="F81">
        <v>80</v>
      </c>
      <c r="G81">
        <v>82</v>
      </c>
      <c r="H81">
        <v>84</v>
      </c>
      <c r="I81" t="s">
        <v>13</v>
      </c>
      <c r="J81">
        <v>7</v>
      </c>
      <c r="K81">
        <v>3</v>
      </c>
      <c r="L81">
        <v>246</v>
      </c>
      <c r="M81">
        <v>82</v>
      </c>
      <c r="N81" t="s">
        <v>198</v>
      </c>
      <c r="O81">
        <v>20.5</v>
      </c>
      <c r="P81" t="s">
        <v>16</v>
      </c>
      <c r="Q81" t="s">
        <v>212</v>
      </c>
      <c r="R81" t="s">
        <v>213</v>
      </c>
      <c r="S81" t="s">
        <v>195</v>
      </c>
      <c r="T81" t="s">
        <v>180</v>
      </c>
    </row>
    <row r="82" spans="1:20">
      <c r="A82">
        <v>150</v>
      </c>
      <c r="B82" t="s">
        <v>156</v>
      </c>
      <c r="C82" t="s">
        <v>12</v>
      </c>
      <c r="D82">
        <v>6</v>
      </c>
      <c r="E82">
        <v>94</v>
      </c>
      <c r="F82">
        <v>91</v>
      </c>
      <c r="G82">
        <v>90</v>
      </c>
      <c r="H82">
        <v>92</v>
      </c>
      <c r="I82" t="s">
        <v>16</v>
      </c>
      <c r="J82">
        <v>6</v>
      </c>
      <c r="K82">
        <v>2</v>
      </c>
      <c r="L82">
        <v>273</v>
      </c>
      <c r="M82">
        <v>91</v>
      </c>
      <c r="N82" t="s">
        <v>198</v>
      </c>
      <c r="O82">
        <v>15.166666666666666</v>
      </c>
      <c r="P82" t="s">
        <v>16</v>
      </c>
      <c r="Q82" t="s">
        <v>212</v>
      </c>
      <c r="R82" t="s">
        <v>213</v>
      </c>
      <c r="S82" t="s">
        <v>195</v>
      </c>
      <c r="T82" t="s">
        <v>180</v>
      </c>
    </row>
    <row r="83" spans="1:20">
      <c r="A83">
        <v>153</v>
      </c>
      <c r="B83" t="s">
        <v>26</v>
      </c>
      <c r="C83" t="s">
        <v>15</v>
      </c>
      <c r="D83">
        <v>5</v>
      </c>
      <c r="E83">
        <v>90</v>
      </c>
      <c r="F83">
        <v>86</v>
      </c>
      <c r="G83">
        <v>88</v>
      </c>
      <c r="H83">
        <v>89</v>
      </c>
      <c r="I83" t="s">
        <v>13</v>
      </c>
      <c r="J83">
        <v>6</v>
      </c>
      <c r="K83">
        <v>2</v>
      </c>
      <c r="L83">
        <v>263</v>
      </c>
      <c r="M83">
        <v>87.666666666666671</v>
      </c>
      <c r="N83" t="s">
        <v>198</v>
      </c>
      <c r="O83">
        <v>17.533333333333335</v>
      </c>
      <c r="P83" t="s">
        <v>16</v>
      </c>
      <c r="Q83" t="s">
        <v>212</v>
      </c>
      <c r="R83" t="s">
        <v>213</v>
      </c>
      <c r="S83" t="s">
        <v>195</v>
      </c>
      <c r="T83" t="s">
        <v>180</v>
      </c>
    </row>
    <row r="84" spans="1:20">
      <c r="A84">
        <v>154</v>
      </c>
      <c r="B84" t="s">
        <v>71</v>
      </c>
      <c r="C84" t="s">
        <v>12</v>
      </c>
      <c r="D84">
        <v>4</v>
      </c>
      <c r="E84">
        <v>88</v>
      </c>
      <c r="F84">
        <v>82</v>
      </c>
      <c r="G84">
        <v>80</v>
      </c>
      <c r="H84">
        <v>85</v>
      </c>
      <c r="I84" t="s">
        <v>13</v>
      </c>
      <c r="J84">
        <v>7</v>
      </c>
      <c r="K84">
        <v>3</v>
      </c>
      <c r="L84">
        <v>247</v>
      </c>
      <c r="M84">
        <v>82.333333333333329</v>
      </c>
      <c r="N84" t="s">
        <v>198</v>
      </c>
      <c r="O84">
        <v>20.583333333333332</v>
      </c>
      <c r="P84" t="s">
        <v>16</v>
      </c>
      <c r="Q84" t="s">
        <v>212</v>
      </c>
      <c r="R84" t="s">
        <v>213</v>
      </c>
      <c r="S84" t="s">
        <v>195</v>
      </c>
      <c r="T84" t="s">
        <v>180</v>
      </c>
    </row>
    <row r="85" spans="1:20">
      <c r="A85">
        <v>157</v>
      </c>
      <c r="B85" t="s">
        <v>48</v>
      </c>
      <c r="C85" t="s">
        <v>15</v>
      </c>
      <c r="D85">
        <v>5</v>
      </c>
      <c r="E85">
        <v>90</v>
      </c>
      <c r="F85">
        <v>86</v>
      </c>
      <c r="G85">
        <v>88</v>
      </c>
      <c r="H85">
        <v>91</v>
      </c>
      <c r="I85" t="s">
        <v>13</v>
      </c>
      <c r="J85">
        <v>6</v>
      </c>
      <c r="K85">
        <v>2</v>
      </c>
      <c r="L85">
        <v>265</v>
      </c>
      <c r="M85">
        <v>88.333333333333329</v>
      </c>
      <c r="N85" t="s">
        <v>198</v>
      </c>
      <c r="O85">
        <v>17.666666666666664</v>
      </c>
      <c r="P85" t="s">
        <v>16</v>
      </c>
      <c r="Q85" t="s">
        <v>212</v>
      </c>
      <c r="R85" t="s">
        <v>213</v>
      </c>
      <c r="S85" t="s">
        <v>195</v>
      </c>
      <c r="T85" t="s">
        <v>180</v>
      </c>
    </row>
    <row r="86" spans="1:20">
      <c r="A86">
        <v>158</v>
      </c>
      <c r="B86" t="s">
        <v>74</v>
      </c>
      <c r="C86" t="s">
        <v>15</v>
      </c>
      <c r="D86">
        <v>4</v>
      </c>
      <c r="E86">
        <v>85</v>
      </c>
      <c r="F86">
        <v>80</v>
      </c>
      <c r="G86">
        <v>82</v>
      </c>
      <c r="H86">
        <v>84</v>
      </c>
      <c r="I86" t="s">
        <v>13</v>
      </c>
      <c r="J86">
        <v>7</v>
      </c>
      <c r="K86">
        <v>3</v>
      </c>
      <c r="L86">
        <v>246</v>
      </c>
      <c r="M86">
        <v>82</v>
      </c>
      <c r="N86" t="s">
        <v>198</v>
      </c>
      <c r="O86">
        <v>20.5</v>
      </c>
      <c r="P86" t="s">
        <v>16</v>
      </c>
      <c r="Q86" t="s">
        <v>212</v>
      </c>
      <c r="R86" t="s">
        <v>213</v>
      </c>
      <c r="S86" t="s">
        <v>195</v>
      </c>
      <c r="T86" t="s">
        <v>180</v>
      </c>
    </row>
    <row r="87" spans="1:20">
      <c r="A87">
        <v>160</v>
      </c>
      <c r="B87" t="s">
        <v>62</v>
      </c>
      <c r="C87" t="s">
        <v>15</v>
      </c>
      <c r="D87">
        <v>6</v>
      </c>
      <c r="E87">
        <v>95</v>
      </c>
      <c r="F87">
        <v>92</v>
      </c>
      <c r="G87">
        <v>93</v>
      </c>
      <c r="H87">
        <v>96</v>
      </c>
      <c r="I87" t="s">
        <v>16</v>
      </c>
      <c r="J87">
        <v>6</v>
      </c>
      <c r="K87">
        <v>2</v>
      </c>
      <c r="L87">
        <v>281</v>
      </c>
      <c r="M87">
        <v>93.666666666666671</v>
      </c>
      <c r="N87" t="s">
        <v>198</v>
      </c>
      <c r="O87">
        <v>15.611111111111112</v>
      </c>
      <c r="P87" t="s">
        <v>16</v>
      </c>
      <c r="Q87" t="s">
        <v>212</v>
      </c>
      <c r="R87" t="s">
        <v>213</v>
      </c>
      <c r="S87" t="s">
        <v>195</v>
      </c>
      <c r="T87" t="s">
        <v>180</v>
      </c>
    </row>
    <row r="88" spans="1:20">
      <c r="A88">
        <v>165</v>
      </c>
      <c r="B88" t="s">
        <v>80</v>
      </c>
      <c r="C88" t="s">
        <v>15</v>
      </c>
      <c r="D88">
        <v>5</v>
      </c>
      <c r="E88">
        <v>91</v>
      </c>
      <c r="F88">
        <v>87</v>
      </c>
      <c r="G88">
        <v>88</v>
      </c>
      <c r="H88">
        <v>90</v>
      </c>
      <c r="I88" t="s">
        <v>13</v>
      </c>
      <c r="J88">
        <v>6</v>
      </c>
      <c r="K88">
        <v>2</v>
      </c>
      <c r="L88">
        <v>265</v>
      </c>
      <c r="M88">
        <v>88.333333333333329</v>
      </c>
      <c r="N88" t="s">
        <v>198</v>
      </c>
      <c r="O88">
        <v>17.666666666666664</v>
      </c>
      <c r="P88" t="s">
        <v>16</v>
      </c>
      <c r="Q88" t="s">
        <v>212</v>
      </c>
      <c r="R88" t="s">
        <v>213</v>
      </c>
      <c r="S88" t="s">
        <v>195</v>
      </c>
      <c r="T88" t="s">
        <v>180</v>
      </c>
    </row>
    <row r="89" spans="1:20">
      <c r="A89">
        <v>166</v>
      </c>
      <c r="B89" t="s">
        <v>81</v>
      </c>
      <c r="C89" t="s">
        <v>12</v>
      </c>
      <c r="D89">
        <v>4</v>
      </c>
      <c r="E89">
        <v>86</v>
      </c>
      <c r="F89">
        <v>82</v>
      </c>
      <c r="G89">
        <v>80</v>
      </c>
      <c r="H89">
        <v>84</v>
      </c>
      <c r="I89" t="s">
        <v>16</v>
      </c>
      <c r="J89">
        <v>7</v>
      </c>
      <c r="K89">
        <v>3</v>
      </c>
      <c r="L89">
        <v>246</v>
      </c>
      <c r="M89">
        <v>82</v>
      </c>
      <c r="N89" t="s">
        <v>198</v>
      </c>
      <c r="O89">
        <v>20.5</v>
      </c>
      <c r="P89" t="s">
        <v>16</v>
      </c>
      <c r="Q89" t="s">
        <v>212</v>
      </c>
      <c r="R89" t="s">
        <v>213</v>
      </c>
      <c r="S89" t="s">
        <v>195</v>
      </c>
      <c r="T89" t="s">
        <v>180</v>
      </c>
    </row>
    <row r="90" spans="1:20">
      <c r="A90">
        <v>168</v>
      </c>
      <c r="B90" t="s">
        <v>82</v>
      </c>
      <c r="C90" t="s">
        <v>12</v>
      </c>
      <c r="D90">
        <v>6</v>
      </c>
      <c r="E90">
        <v>94</v>
      </c>
      <c r="F90">
        <v>91</v>
      </c>
      <c r="G90">
        <v>90</v>
      </c>
      <c r="H90">
        <v>93</v>
      </c>
      <c r="I90" t="s">
        <v>16</v>
      </c>
      <c r="J90">
        <v>6</v>
      </c>
      <c r="K90">
        <v>2</v>
      </c>
      <c r="L90">
        <v>274</v>
      </c>
      <c r="M90">
        <v>91.333333333333329</v>
      </c>
      <c r="N90" t="s">
        <v>198</v>
      </c>
      <c r="O90">
        <v>15.222222222222221</v>
      </c>
      <c r="P90" t="s">
        <v>16</v>
      </c>
      <c r="Q90" t="s">
        <v>212</v>
      </c>
      <c r="R90" t="s">
        <v>213</v>
      </c>
      <c r="S90" t="s">
        <v>195</v>
      </c>
      <c r="T90" t="s">
        <v>180</v>
      </c>
    </row>
    <row r="91" spans="1:20">
      <c r="A91">
        <v>170</v>
      </c>
      <c r="B91" t="s">
        <v>84</v>
      </c>
      <c r="C91" t="s">
        <v>15</v>
      </c>
      <c r="D91">
        <v>5</v>
      </c>
      <c r="E91">
        <v>90</v>
      </c>
      <c r="F91">
        <v>85</v>
      </c>
      <c r="G91">
        <v>87</v>
      </c>
      <c r="H91">
        <v>89</v>
      </c>
      <c r="I91" t="s">
        <v>13</v>
      </c>
      <c r="J91">
        <v>6</v>
      </c>
      <c r="K91">
        <v>2</v>
      </c>
      <c r="L91">
        <v>261</v>
      </c>
      <c r="M91">
        <v>87</v>
      </c>
      <c r="N91" t="s">
        <v>198</v>
      </c>
      <c r="O91">
        <v>17.399999999999999</v>
      </c>
      <c r="P91" t="s">
        <v>16</v>
      </c>
      <c r="Q91" t="s">
        <v>212</v>
      </c>
      <c r="R91" t="s">
        <v>213</v>
      </c>
      <c r="S91" t="s">
        <v>195</v>
      </c>
      <c r="T91" t="s">
        <v>180</v>
      </c>
    </row>
    <row r="92" spans="1:20">
      <c r="A92">
        <v>172</v>
      </c>
      <c r="B92" t="s">
        <v>86</v>
      </c>
      <c r="C92" t="s">
        <v>15</v>
      </c>
      <c r="D92">
        <v>4</v>
      </c>
      <c r="E92">
        <v>88</v>
      </c>
      <c r="F92">
        <v>84</v>
      </c>
      <c r="G92">
        <v>82</v>
      </c>
      <c r="H92">
        <v>86</v>
      </c>
      <c r="I92" t="s">
        <v>13</v>
      </c>
      <c r="J92">
        <v>7</v>
      </c>
      <c r="K92">
        <v>3</v>
      </c>
      <c r="L92">
        <v>252</v>
      </c>
      <c r="M92">
        <v>84</v>
      </c>
      <c r="N92" t="s">
        <v>198</v>
      </c>
      <c r="O92">
        <v>21</v>
      </c>
      <c r="P92" t="s">
        <v>16</v>
      </c>
      <c r="Q92" t="s">
        <v>212</v>
      </c>
      <c r="R92" t="s">
        <v>213</v>
      </c>
      <c r="S92" t="s">
        <v>195</v>
      </c>
      <c r="T92" t="s">
        <v>180</v>
      </c>
    </row>
    <row r="93" spans="1:20">
      <c r="A93">
        <v>174</v>
      </c>
      <c r="B93" t="s">
        <v>88</v>
      </c>
      <c r="C93" t="s">
        <v>15</v>
      </c>
      <c r="D93">
        <v>5</v>
      </c>
      <c r="E93">
        <v>92</v>
      </c>
      <c r="F93">
        <v>89</v>
      </c>
      <c r="G93">
        <v>90</v>
      </c>
      <c r="H93">
        <v>93</v>
      </c>
      <c r="I93" t="s">
        <v>13</v>
      </c>
      <c r="J93">
        <v>6</v>
      </c>
      <c r="K93">
        <v>2</v>
      </c>
      <c r="L93">
        <v>272</v>
      </c>
      <c r="M93">
        <v>90.666666666666671</v>
      </c>
      <c r="N93" t="s">
        <v>198</v>
      </c>
      <c r="O93">
        <v>18.133333333333333</v>
      </c>
      <c r="P93" t="s">
        <v>16</v>
      </c>
      <c r="Q93" t="s">
        <v>212</v>
      </c>
      <c r="R93" t="s">
        <v>213</v>
      </c>
      <c r="S93" t="s">
        <v>195</v>
      </c>
      <c r="T93" t="s">
        <v>180</v>
      </c>
    </row>
    <row r="94" spans="1:20">
      <c r="A94">
        <v>176</v>
      </c>
      <c r="B94" t="s">
        <v>90</v>
      </c>
      <c r="C94" t="s">
        <v>15</v>
      </c>
      <c r="D94">
        <v>6</v>
      </c>
      <c r="E94">
        <v>96</v>
      </c>
      <c r="F94">
        <v>93</v>
      </c>
      <c r="G94">
        <v>94</v>
      </c>
      <c r="H94">
        <v>97</v>
      </c>
      <c r="I94" t="s">
        <v>16</v>
      </c>
      <c r="J94">
        <v>6</v>
      </c>
      <c r="K94">
        <v>2</v>
      </c>
      <c r="L94">
        <v>284</v>
      </c>
      <c r="M94">
        <v>94.666666666666671</v>
      </c>
      <c r="N94" t="s">
        <v>198</v>
      </c>
      <c r="O94">
        <v>15.777777777777779</v>
      </c>
      <c r="P94" t="s">
        <v>16</v>
      </c>
      <c r="Q94" t="s">
        <v>212</v>
      </c>
      <c r="R94" t="s">
        <v>213</v>
      </c>
      <c r="S94" t="s">
        <v>195</v>
      </c>
      <c r="T94" t="s">
        <v>180</v>
      </c>
    </row>
    <row r="95" spans="1:20">
      <c r="A95">
        <v>179</v>
      </c>
      <c r="B95" t="s">
        <v>93</v>
      </c>
      <c r="C95" t="s">
        <v>15</v>
      </c>
      <c r="D95">
        <v>4</v>
      </c>
      <c r="E95">
        <v>87</v>
      </c>
      <c r="F95">
        <v>83</v>
      </c>
      <c r="G95">
        <v>81</v>
      </c>
      <c r="H95">
        <v>85</v>
      </c>
      <c r="I95" t="s">
        <v>16</v>
      </c>
      <c r="J95">
        <v>6</v>
      </c>
      <c r="K95">
        <v>3</v>
      </c>
      <c r="L95">
        <v>249</v>
      </c>
      <c r="M95">
        <v>83</v>
      </c>
      <c r="N95" t="s">
        <v>198</v>
      </c>
      <c r="O95">
        <v>20.75</v>
      </c>
      <c r="P95" t="s">
        <v>16</v>
      </c>
      <c r="Q95" t="s">
        <v>212</v>
      </c>
      <c r="R95" t="s">
        <v>213</v>
      </c>
      <c r="S95" t="s">
        <v>195</v>
      </c>
      <c r="T95" t="s">
        <v>180</v>
      </c>
    </row>
    <row r="96" spans="1:20">
      <c r="A96">
        <v>181</v>
      </c>
      <c r="B96" t="s">
        <v>95</v>
      </c>
      <c r="C96" t="s">
        <v>15</v>
      </c>
      <c r="D96">
        <v>5</v>
      </c>
      <c r="E96">
        <v>91</v>
      </c>
      <c r="F96">
        <v>87</v>
      </c>
      <c r="G96">
        <v>89</v>
      </c>
      <c r="H96">
        <v>90</v>
      </c>
      <c r="I96" t="s">
        <v>13</v>
      </c>
      <c r="J96">
        <v>6</v>
      </c>
      <c r="K96">
        <v>2</v>
      </c>
      <c r="L96">
        <v>266</v>
      </c>
      <c r="M96">
        <v>88.666666666666671</v>
      </c>
      <c r="N96" t="s">
        <v>198</v>
      </c>
      <c r="O96">
        <v>17.733333333333334</v>
      </c>
      <c r="P96" t="s">
        <v>16</v>
      </c>
      <c r="Q96" t="s">
        <v>212</v>
      </c>
      <c r="R96" t="s">
        <v>213</v>
      </c>
      <c r="S96" t="s">
        <v>195</v>
      </c>
      <c r="T96" t="s">
        <v>180</v>
      </c>
    </row>
    <row r="97" spans="1:20">
      <c r="A97">
        <v>183</v>
      </c>
      <c r="B97" t="s">
        <v>97</v>
      </c>
      <c r="C97" t="s">
        <v>12</v>
      </c>
      <c r="D97">
        <v>6</v>
      </c>
      <c r="E97">
        <v>94</v>
      </c>
      <c r="F97">
        <v>92</v>
      </c>
      <c r="G97">
        <v>91</v>
      </c>
      <c r="H97">
        <v>95</v>
      </c>
      <c r="I97" t="s">
        <v>16</v>
      </c>
      <c r="J97">
        <v>6</v>
      </c>
      <c r="K97">
        <v>2</v>
      </c>
      <c r="L97">
        <v>278</v>
      </c>
      <c r="M97">
        <v>92.666666666666671</v>
      </c>
      <c r="N97" t="s">
        <v>198</v>
      </c>
      <c r="O97">
        <v>15.444444444444445</v>
      </c>
      <c r="P97" t="s">
        <v>16</v>
      </c>
      <c r="Q97" t="s">
        <v>212</v>
      </c>
      <c r="R97" t="s">
        <v>213</v>
      </c>
      <c r="S97" t="s">
        <v>195</v>
      </c>
      <c r="T97" t="s">
        <v>180</v>
      </c>
    </row>
    <row r="98" spans="1:20">
      <c r="A98">
        <v>185</v>
      </c>
      <c r="B98" t="s">
        <v>99</v>
      </c>
      <c r="C98" t="s">
        <v>12</v>
      </c>
      <c r="D98">
        <v>4</v>
      </c>
      <c r="E98">
        <v>85</v>
      </c>
      <c r="F98">
        <v>80</v>
      </c>
      <c r="G98">
        <v>82</v>
      </c>
      <c r="H98">
        <v>84</v>
      </c>
      <c r="I98" t="s">
        <v>13</v>
      </c>
      <c r="J98">
        <v>7</v>
      </c>
      <c r="K98">
        <v>3</v>
      </c>
      <c r="L98">
        <v>246</v>
      </c>
      <c r="M98">
        <v>82</v>
      </c>
      <c r="N98" t="s">
        <v>198</v>
      </c>
      <c r="O98">
        <v>20.5</v>
      </c>
      <c r="P98" t="s">
        <v>16</v>
      </c>
      <c r="Q98" t="s">
        <v>212</v>
      </c>
      <c r="R98" t="s">
        <v>213</v>
      </c>
      <c r="S98" t="s">
        <v>195</v>
      </c>
      <c r="T98" t="s">
        <v>180</v>
      </c>
    </row>
    <row r="99" spans="1:20">
      <c r="A99">
        <v>186</v>
      </c>
      <c r="B99" t="s">
        <v>100</v>
      </c>
      <c r="C99" t="s">
        <v>15</v>
      </c>
      <c r="D99">
        <v>5</v>
      </c>
      <c r="E99">
        <v>90</v>
      </c>
      <c r="F99">
        <v>86</v>
      </c>
      <c r="G99">
        <v>88</v>
      </c>
      <c r="H99">
        <v>89</v>
      </c>
      <c r="I99" t="s">
        <v>13</v>
      </c>
      <c r="J99">
        <v>6</v>
      </c>
      <c r="K99">
        <v>2</v>
      </c>
      <c r="L99">
        <v>263</v>
      </c>
      <c r="M99">
        <v>87.666666666666671</v>
      </c>
      <c r="N99" t="s">
        <v>198</v>
      </c>
      <c r="O99">
        <v>17.533333333333335</v>
      </c>
      <c r="P99" t="s">
        <v>16</v>
      </c>
      <c r="Q99" t="s">
        <v>212</v>
      </c>
      <c r="R99" t="s">
        <v>213</v>
      </c>
      <c r="S99" t="s">
        <v>195</v>
      </c>
      <c r="T99" t="s">
        <v>180</v>
      </c>
    </row>
    <row r="100" spans="1:20">
      <c r="A100">
        <v>188</v>
      </c>
      <c r="B100" t="s">
        <v>102</v>
      </c>
      <c r="C100" t="s">
        <v>15</v>
      </c>
      <c r="D100">
        <v>4</v>
      </c>
      <c r="E100">
        <v>88</v>
      </c>
      <c r="F100">
        <v>84</v>
      </c>
      <c r="G100">
        <v>83</v>
      </c>
      <c r="H100">
        <v>86</v>
      </c>
      <c r="I100" t="s">
        <v>13</v>
      </c>
      <c r="J100">
        <v>7</v>
      </c>
      <c r="K100">
        <v>3</v>
      </c>
      <c r="L100">
        <v>253</v>
      </c>
      <c r="M100">
        <v>84.333333333333329</v>
      </c>
      <c r="N100" t="s">
        <v>198</v>
      </c>
      <c r="O100">
        <v>21.083333333333332</v>
      </c>
      <c r="P100" t="s">
        <v>16</v>
      </c>
      <c r="Q100" t="s">
        <v>212</v>
      </c>
      <c r="R100" t="s">
        <v>213</v>
      </c>
      <c r="S100" t="s">
        <v>195</v>
      </c>
      <c r="T100" t="s">
        <v>180</v>
      </c>
    </row>
    <row r="101" spans="1:20">
      <c r="A101">
        <v>190</v>
      </c>
      <c r="B101" t="s">
        <v>104</v>
      </c>
      <c r="C101" t="s">
        <v>15</v>
      </c>
      <c r="D101">
        <v>5</v>
      </c>
      <c r="E101">
        <v>91</v>
      </c>
      <c r="F101">
        <v>87</v>
      </c>
      <c r="G101">
        <v>88</v>
      </c>
      <c r="H101">
        <v>90</v>
      </c>
      <c r="I101" t="s">
        <v>13</v>
      </c>
      <c r="J101">
        <v>6</v>
      </c>
      <c r="K101">
        <v>2</v>
      </c>
      <c r="L101">
        <v>265</v>
      </c>
      <c r="M101">
        <v>88.333333333333329</v>
      </c>
      <c r="N101" t="s">
        <v>198</v>
      </c>
      <c r="O101">
        <v>17.666666666666664</v>
      </c>
      <c r="P101" t="s">
        <v>16</v>
      </c>
      <c r="Q101" t="s">
        <v>212</v>
      </c>
      <c r="R101" t="s">
        <v>213</v>
      </c>
      <c r="S101" t="s">
        <v>195</v>
      </c>
      <c r="T101" t="s">
        <v>180</v>
      </c>
    </row>
    <row r="102" spans="1:20">
      <c r="A102">
        <v>192</v>
      </c>
      <c r="B102" t="s">
        <v>106</v>
      </c>
      <c r="C102" t="s">
        <v>15</v>
      </c>
      <c r="D102">
        <v>4</v>
      </c>
      <c r="E102">
        <v>85</v>
      </c>
      <c r="F102">
        <v>81</v>
      </c>
      <c r="G102">
        <v>82</v>
      </c>
      <c r="H102">
        <v>84</v>
      </c>
      <c r="I102" t="s">
        <v>13</v>
      </c>
      <c r="J102">
        <v>7</v>
      </c>
      <c r="K102">
        <v>3</v>
      </c>
      <c r="L102">
        <v>247</v>
      </c>
      <c r="M102">
        <v>82.333333333333329</v>
      </c>
      <c r="N102" t="s">
        <v>198</v>
      </c>
      <c r="O102">
        <v>20.583333333333332</v>
      </c>
      <c r="P102" t="s">
        <v>16</v>
      </c>
      <c r="Q102" t="s">
        <v>212</v>
      </c>
      <c r="R102" t="s">
        <v>213</v>
      </c>
      <c r="S102" t="s">
        <v>195</v>
      </c>
      <c r="T102" t="s">
        <v>180</v>
      </c>
    </row>
    <row r="103" spans="1:20">
      <c r="A103">
        <v>193</v>
      </c>
      <c r="B103" t="s">
        <v>107</v>
      </c>
      <c r="C103" t="s">
        <v>12</v>
      </c>
      <c r="D103">
        <v>6</v>
      </c>
      <c r="E103">
        <v>94</v>
      </c>
      <c r="F103">
        <v>91</v>
      </c>
      <c r="G103">
        <v>90</v>
      </c>
      <c r="H103">
        <v>92</v>
      </c>
      <c r="I103" t="s">
        <v>16</v>
      </c>
      <c r="J103">
        <v>6</v>
      </c>
      <c r="K103">
        <v>2</v>
      </c>
      <c r="L103">
        <v>273</v>
      </c>
      <c r="M103">
        <v>91</v>
      </c>
      <c r="N103" t="s">
        <v>198</v>
      </c>
      <c r="O103">
        <v>15.166666666666666</v>
      </c>
      <c r="P103" t="s">
        <v>16</v>
      </c>
      <c r="Q103" t="s">
        <v>212</v>
      </c>
      <c r="R103" t="s">
        <v>213</v>
      </c>
      <c r="S103" t="s">
        <v>195</v>
      </c>
      <c r="T103" t="s">
        <v>180</v>
      </c>
    </row>
    <row r="104" spans="1:20">
      <c r="A104">
        <v>196</v>
      </c>
      <c r="B104" t="s">
        <v>110</v>
      </c>
      <c r="C104" t="s">
        <v>15</v>
      </c>
      <c r="D104">
        <v>5</v>
      </c>
      <c r="E104">
        <v>90</v>
      </c>
      <c r="F104">
        <v>86</v>
      </c>
      <c r="G104">
        <v>88</v>
      </c>
      <c r="H104">
        <v>89</v>
      </c>
      <c r="I104" t="s">
        <v>13</v>
      </c>
      <c r="J104">
        <v>6</v>
      </c>
      <c r="K104">
        <v>2</v>
      </c>
      <c r="L104">
        <v>263</v>
      </c>
      <c r="M104">
        <v>87.666666666666671</v>
      </c>
      <c r="N104" t="s">
        <v>198</v>
      </c>
      <c r="O104">
        <v>17.533333333333335</v>
      </c>
      <c r="P104" t="s">
        <v>16</v>
      </c>
      <c r="Q104" t="s">
        <v>212</v>
      </c>
      <c r="R104" t="s">
        <v>213</v>
      </c>
      <c r="S104" t="s">
        <v>195</v>
      </c>
      <c r="T104" t="s">
        <v>180</v>
      </c>
    </row>
    <row r="105" spans="1:20">
      <c r="A105">
        <v>198</v>
      </c>
      <c r="B105" t="s">
        <v>112</v>
      </c>
      <c r="C105" t="s">
        <v>15</v>
      </c>
      <c r="D105">
        <v>4</v>
      </c>
      <c r="E105">
        <v>87</v>
      </c>
      <c r="F105">
        <v>83</v>
      </c>
      <c r="G105">
        <v>81</v>
      </c>
      <c r="H105">
        <v>85</v>
      </c>
      <c r="I105" t="s">
        <v>16</v>
      </c>
      <c r="J105">
        <v>6</v>
      </c>
      <c r="K105">
        <v>3</v>
      </c>
      <c r="L105">
        <v>249</v>
      </c>
      <c r="M105">
        <v>83</v>
      </c>
      <c r="N105" t="s">
        <v>198</v>
      </c>
      <c r="O105">
        <v>20.75</v>
      </c>
      <c r="P105" t="s">
        <v>16</v>
      </c>
      <c r="Q105" t="s">
        <v>212</v>
      </c>
      <c r="R105" t="s">
        <v>213</v>
      </c>
      <c r="S105" t="s">
        <v>195</v>
      </c>
      <c r="T105" t="s">
        <v>180</v>
      </c>
    </row>
    <row r="106" spans="1:20">
      <c r="A106">
        <v>200</v>
      </c>
      <c r="B106" t="s">
        <v>114</v>
      </c>
      <c r="C106" t="s">
        <v>15</v>
      </c>
      <c r="D106">
        <v>5</v>
      </c>
      <c r="E106">
        <v>92</v>
      </c>
      <c r="F106">
        <v>89</v>
      </c>
      <c r="G106">
        <v>90</v>
      </c>
      <c r="H106">
        <v>93</v>
      </c>
      <c r="I106" t="s">
        <v>13</v>
      </c>
      <c r="J106">
        <v>6</v>
      </c>
      <c r="K106">
        <v>2</v>
      </c>
      <c r="L106">
        <v>272</v>
      </c>
      <c r="M106">
        <v>90.666666666666671</v>
      </c>
      <c r="N106" t="s">
        <v>198</v>
      </c>
      <c r="O106">
        <v>18.133333333333333</v>
      </c>
      <c r="P106" t="s">
        <v>16</v>
      </c>
      <c r="Q106" t="s">
        <v>212</v>
      </c>
      <c r="R106" t="s">
        <v>213</v>
      </c>
      <c r="S106" t="s">
        <v>195</v>
      </c>
      <c r="T106" t="s">
        <v>180</v>
      </c>
    </row>
    <row r="107" spans="1:20">
      <c r="A107">
        <v>202</v>
      </c>
      <c r="B107" t="s">
        <v>115</v>
      </c>
      <c r="C107" t="s">
        <v>15</v>
      </c>
      <c r="D107">
        <v>4</v>
      </c>
      <c r="E107">
        <v>88</v>
      </c>
      <c r="F107">
        <v>82</v>
      </c>
      <c r="G107">
        <v>79</v>
      </c>
      <c r="H107">
        <v>85</v>
      </c>
      <c r="I107" t="s">
        <v>13</v>
      </c>
      <c r="J107">
        <v>7</v>
      </c>
      <c r="K107">
        <v>3</v>
      </c>
      <c r="L107">
        <v>246</v>
      </c>
      <c r="M107">
        <v>82</v>
      </c>
      <c r="N107" t="s">
        <v>198</v>
      </c>
      <c r="O107">
        <v>20.5</v>
      </c>
      <c r="P107" t="s">
        <v>16</v>
      </c>
      <c r="Q107" t="s">
        <v>212</v>
      </c>
      <c r="R107" t="s">
        <v>213</v>
      </c>
      <c r="S107" t="s">
        <v>195</v>
      </c>
      <c r="T107" t="s">
        <v>180</v>
      </c>
    </row>
    <row r="108" spans="1:20">
      <c r="A108">
        <v>203</v>
      </c>
      <c r="B108" t="s">
        <v>165</v>
      </c>
      <c r="C108" t="s">
        <v>15</v>
      </c>
      <c r="D108">
        <v>5</v>
      </c>
      <c r="E108">
        <v>90</v>
      </c>
      <c r="F108">
        <v>85</v>
      </c>
      <c r="G108">
        <v>87</v>
      </c>
      <c r="H108">
        <v>89</v>
      </c>
      <c r="I108" t="s">
        <v>13</v>
      </c>
      <c r="J108">
        <v>6</v>
      </c>
      <c r="K108">
        <v>2</v>
      </c>
      <c r="L108">
        <v>261</v>
      </c>
      <c r="M108">
        <v>87</v>
      </c>
      <c r="N108" t="s">
        <v>198</v>
      </c>
      <c r="O108">
        <v>17.399999999999999</v>
      </c>
      <c r="P108" t="s">
        <v>16</v>
      </c>
      <c r="Q108" t="s">
        <v>212</v>
      </c>
      <c r="R108" t="s">
        <v>213</v>
      </c>
      <c r="S108" t="s">
        <v>195</v>
      </c>
      <c r="T108" t="s">
        <v>180</v>
      </c>
    </row>
    <row r="109" spans="1:20">
      <c r="A109">
        <v>204</v>
      </c>
      <c r="B109" t="s">
        <v>116</v>
      </c>
      <c r="C109" t="s">
        <v>12</v>
      </c>
      <c r="D109">
        <v>4</v>
      </c>
      <c r="E109">
        <v>86</v>
      </c>
      <c r="F109">
        <v>82</v>
      </c>
      <c r="G109">
        <v>80</v>
      </c>
      <c r="H109">
        <v>84</v>
      </c>
      <c r="I109" t="s">
        <v>13</v>
      </c>
      <c r="J109">
        <v>7</v>
      </c>
      <c r="K109">
        <v>3</v>
      </c>
      <c r="L109">
        <v>246</v>
      </c>
      <c r="M109">
        <v>82</v>
      </c>
      <c r="N109" t="s">
        <v>198</v>
      </c>
      <c r="O109">
        <v>20.5</v>
      </c>
      <c r="P109" t="s">
        <v>16</v>
      </c>
      <c r="Q109" t="s">
        <v>212</v>
      </c>
      <c r="R109" t="s">
        <v>213</v>
      </c>
      <c r="S109" t="s">
        <v>195</v>
      </c>
      <c r="T109" t="s">
        <v>180</v>
      </c>
    </row>
    <row r="110" spans="1:20">
      <c r="A110">
        <v>205</v>
      </c>
      <c r="B110" t="s">
        <v>117</v>
      </c>
      <c r="C110" t="s">
        <v>15</v>
      </c>
      <c r="D110">
        <v>5</v>
      </c>
      <c r="E110">
        <v>91</v>
      </c>
      <c r="F110">
        <v>87</v>
      </c>
      <c r="G110">
        <v>88</v>
      </c>
      <c r="H110">
        <v>90</v>
      </c>
      <c r="I110" t="s">
        <v>13</v>
      </c>
      <c r="J110">
        <v>6</v>
      </c>
      <c r="K110">
        <v>2</v>
      </c>
      <c r="L110">
        <v>265</v>
      </c>
      <c r="M110">
        <v>88.333333333333329</v>
      </c>
      <c r="N110" t="s">
        <v>198</v>
      </c>
      <c r="O110">
        <v>17.666666666666664</v>
      </c>
      <c r="P110" t="s">
        <v>16</v>
      </c>
      <c r="Q110" t="s">
        <v>212</v>
      </c>
      <c r="R110" t="s">
        <v>213</v>
      </c>
      <c r="S110" t="s">
        <v>195</v>
      </c>
      <c r="T110" t="s">
        <v>180</v>
      </c>
    </row>
    <row r="111" spans="1:20">
      <c r="A111">
        <v>207</v>
      </c>
      <c r="B111" t="s">
        <v>119</v>
      </c>
      <c r="C111" t="s">
        <v>15</v>
      </c>
      <c r="D111">
        <v>4</v>
      </c>
      <c r="E111">
        <v>87</v>
      </c>
      <c r="F111">
        <v>83</v>
      </c>
      <c r="G111">
        <v>81</v>
      </c>
      <c r="H111">
        <v>85</v>
      </c>
      <c r="I111" t="s">
        <v>13</v>
      </c>
      <c r="J111">
        <v>6</v>
      </c>
      <c r="K111">
        <v>3</v>
      </c>
      <c r="L111">
        <v>249</v>
      </c>
      <c r="M111">
        <v>83</v>
      </c>
      <c r="N111" t="s">
        <v>198</v>
      </c>
      <c r="O111">
        <v>20.75</v>
      </c>
      <c r="P111" t="s">
        <v>16</v>
      </c>
      <c r="Q111" t="s">
        <v>212</v>
      </c>
      <c r="R111" t="s">
        <v>213</v>
      </c>
      <c r="S111" t="s">
        <v>195</v>
      </c>
      <c r="T111" t="s">
        <v>180</v>
      </c>
    </row>
    <row r="112" spans="1:20">
      <c r="A112">
        <v>209</v>
      </c>
      <c r="B112" t="s">
        <v>121</v>
      </c>
      <c r="C112" t="s">
        <v>15</v>
      </c>
      <c r="D112">
        <v>5</v>
      </c>
      <c r="E112">
        <v>92</v>
      </c>
      <c r="F112">
        <v>88</v>
      </c>
      <c r="G112">
        <v>90</v>
      </c>
      <c r="H112">
        <v>91</v>
      </c>
      <c r="I112" t="s">
        <v>13</v>
      </c>
      <c r="J112">
        <v>6</v>
      </c>
      <c r="K112">
        <v>2</v>
      </c>
      <c r="L112">
        <v>269</v>
      </c>
      <c r="M112">
        <v>89.666666666666671</v>
      </c>
      <c r="N112" t="s">
        <v>198</v>
      </c>
      <c r="O112">
        <v>17.933333333333334</v>
      </c>
      <c r="P112" t="s">
        <v>16</v>
      </c>
      <c r="Q112" t="s">
        <v>212</v>
      </c>
      <c r="R112" t="s">
        <v>213</v>
      </c>
      <c r="S112" t="s">
        <v>195</v>
      </c>
      <c r="T112" t="s">
        <v>180</v>
      </c>
    </row>
    <row r="113" spans="1:20">
      <c r="A113">
        <v>211</v>
      </c>
      <c r="B113" t="s">
        <v>123</v>
      </c>
      <c r="C113" t="s">
        <v>15</v>
      </c>
      <c r="D113">
        <v>4</v>
      </c>
      <c r="E113">
        <v>85</v>
      </c>
      <c r="F113">
        <v>80</v>
      </c>
      <c r="G113">
        <v>82</v>
      </c>
      <c r="H113">
        <v>84</v>
      </c>
      <c r="I113" t="s">
        <v>13</v>
      </c>
      <c r="J113">
        <v>7</v>
      </c>
      <c r="K113">
        <v>3</v>
      </c>
      <c r="L113">
        <v>246</v>
      </c>
      <c r="M113">
        <v>82</v>
      </c>
      <c r="N113" t="s">
        <v>198</v>
      </c>
      <c r="O113">
        <v>20.5</v>
      </c>
      <c r="P113" t="s">
        <v>16</v>
      </c>
      <c r="Q113" t="s">
        <v>212</v>
      </c>
      <c r="R113" t="s">
        <v>213</v>
      </c>
      <c r="S113" t="s">
        <v>195</v>
      </c>
      <c r="T113" t="s">
        <v>180</v>
      </c>
    </row>
    <row r="114" spans="1:20">
      <c r="A114">
        <v>212</v>
      </c>
      <c r="B114" t="s">
        <v>124</v>
      </c>
      <c r="C114" t="s">
        <v>12</v>
      </c>
      <c r="D114">
        <v>6</v>
      </c>
      <c r="E114">
        <v>94</v>
      </c>
      <c r="F114">
        <v>91</v>
      </c>
      <c r="G114">
        <v>90</v>
      </c>
      <c r="H114">
        <v>92</v>
      </c>
      <c r="I114" t="s">
        <v>16</v>
      </c>
      <c r="J114">
        <v>6</v>
      </c>
      <c r="K114">
        <v>2</v>
      </c>
      <c r="L114">
        <v>273</v>
      </c>
      <c r="M114">
        <v>91</v>
      </c>
      <c r="N114" t="s">
        <v>198</v>
      </c>
      <c r="O114">
        <v>15.166666666666666</v>
      </c>
      <c r="P114" t="s">
        <v>16</v>
      </c>
      <c r="Q114" t="s">
        <v>212</v>
      </c>
      <c r="R114" t="s">
        <v>213</v>
      </c>
      <c r="S114" t="s">
        <v>195</v>
      </c>
      <c r="T114" t="s">
        <v>180</v>
      </c>
    </row>
    <row r="115" spans="1:20">
      <c r="A115">
        <v>215</v>
      </c>
      <c r="B115" t="s">
        <v>126</v>
      </c>
      <c r="C115" t="s">
        <v>12</v>
      </c>
      <c r="D115">
        <v>5</v>
      </c>
      <c r="E115">
        <v>90</v>
      </c>
      <c r="F115">
        <v>86</v>
      </c>
      <c r="G115">
        <v>88</v>
      </c>
      <c r="H115">
        <v>89</v>
      </c>
      <c r="I115" t="s">
        <v>13</v>
      </c>
      <c r="J115">
        <v>6</v>
      </c>
      <c r="K115">
        <v>2</v>
      </c>
      <c r="L115">
        <v>263</v>
      </c>
      <c r="M115">
        <v>87.666666666666671</v>
      </c>
      <c r="N115" t="s">
        <v>198</v>
      </c>
      <c r="O115">
        <v>17.533333333333335</v>
      </c>
      <c r="P115" t="s">
        <v>16</v>
      </c>
      <c r="Q115" t="s">
        <v>212</v>
      </c>
      <c r="R115" t="s">
        <v>213</v>
      </c>
      <c r="S115" t="s">
        <v>195</v>
      </c>
      <c r="T115" t="s">
        <v>180</v>
      </c>
    </row>
    <row r="116" spans="1:20">
      <c r="A116">
        <v>216</v>
      </c>
      <c r="B116" t="s">
        <v>127</v>
      </c>
      <c r="C116" t="s">
        <v>15</v>
      </c>
      <c r="D116">
        <v>4</v>
      </c>
      <c r="E116">
        <v>87</v>
      </c>
      <c r="F116">
        <v>83</v>
      </c>
      <c r="G116">
        <v>81</v>
      </c>
      <c r="H116">
        <v>85</v>
      </c>
      <c r="I116" t="s">
        <v>13</v>
      </c>
      <c r="J116">
        <v>6</v>
      </c>
      <c r="K116">
        <v>3</v>
      </c>
      <c r="L116">
        <v>249</v>
      </c>
      <c r="M116">
        <v>83</v>
      </c>
      <c r="N116" t="s">
        <v>198</v>
      </c>
      <c r="O116">
        <v>20.75</v>
      </c>
      <c r="P116" t="s">
        <v>16</v>
      </c>
      <c r="Q116" t="s">
        <v>212</v>
      </c>
      <c r="R116" t="s">
        <v>213</v>
      </c>
      <c r="S116" t="s">
        <v>195</v>
      </c>
      <c r="T116" t="s">
        <v>180</v>
      </c>
    </row>
    <row r="117" spans="1:20">
      <c r="A117">
        <v>218</v>
      </c>
      <c r="B117" t="s">
        <v>129</v>
      </c>
      <c r="C117" t="s">
        <v>15</v>
      </c>
      <c r="D117">
        <v>5</v>
      </c>
      <c r="E117">
        <v>91</v>
      </c>
      <c r="F117">
        <v>87</v>
      </c>
      <c r="G117">
        <v>88</v>
      </c>
      <c r="H117">
        <v>90</v>
      </c>
      <c r="I117" t="s">
        <v>13</v>
      </c>
      <c r="J117">
        <v>6</v>
      </c>
      <c r="K117">
        <v>2</v>
      </c>
      <c r="L117">
        <v>265</v>
      </c>
      <c r="M117">
        <v>88.333333333333329</v>
      </c>
      <c r="N117" t="s">
        <v>198</v>
      </c>
      <c r="O117">
        <v>17.666666666666664</v>
      </c>
      <c r="P117" t="s">
        <v>16</v>
      </c>
      <c r="Q117" t="s">
        <v>212</v>
      </c>
      <c r="R117" t="s">
        <v>213</v>
      </c>
      <c r="S117" t="s">
        <v>195</v>
      </c>
      <c r="T117" t="s">
        <v>180</v>
      </c>
    </row>
    <row r="118" spans="1:20">
      <c r="A118">
        <v>220</v>
      </c>
      <c r="B118" t="s">
        <v>131</v>
      </c>
      <c r="C118" t="s">
        <v>15</v>
      </c>
      <c r="D118">
        <v>4</v>
      </c>
      <c r="E118">
        <v>85</v>
      </c>
      <c r="F118">
        <v>81</v>
      </c>
      <c r="G118">
        <v>82</v>
      </c>
      <c r="H118">
        <v>84</v>
      </c>
      <c r="I118" t="s">
        <v>13</v>
      </c>
      <c r="J118">
        <v>7</v>
      </c>
      <c r="K118">
        <v>3</v>
      </c>
      <c r="L118">
        <v>247</v>
      </c>
      <c r="M118">
        <v>82.333333333333329</v>
      </c>
      <c r="N118" t="s">
        <v>198</v>
      </c>
      <c r="O118">
        <v>20.583333333333332</v>
      </c>
      <c r="P118" t="s">
        <v>16</v>
      </c>
      <c r="Q118" t="s">
        <v>212</v>
      </c>
      <c r="R118" t="s">
        <v>213</v>
      </c>
      <c r="S118" t="s">
        <v>195</v>
      </c>
      <c r="T118" t="s">
        <v>180</v>
      </c>
    </row>
    <row r="119" spans="1:20">
      <c r="A119">
        <v>221</v>
      </c>
      <c r="B119" t="s">
        <v>132</v>
      </c>
      <c r="C119" t="s">
        <v>12</v>
      </c>
      <c r="D119">
        <v>6</v>
      </c>
      <c r="E119">
        <v>94</v>
      </c>
      <c r="F119">
        <v>92</v>
      </c>
      <c r="G119">
        <v>91</v>
      </c>
      <c r="H119">
        <v>95</v>
      </c>
      <c r="I119" t="s">
        <v>16</v>
      </c>
      <c r="J119">
        <v>6</v>
      </c>
      <c r="K119">
        <v>2</v>
      </c>
      <c r="L119">
        <v>278</v>
      </c>
      <c r="M119">
        <v>92.666666666666671</v>
      </c>
      <c r="N119" t="s">
        <v>198</v>
      </c>
      <c r="O119">
        <v>15.444444444444445</v>
      </c>
      <c r="P119" t="s">
        <v>16</v>
      </c>
      <c r="Q119" t="s">
        <v>212</v>
      </c>
      <c r="R119" t="s">
        <v>213</v>
      </c>
      <c r="S119" t="s">
        <v>195</v>
      </c>
      <c r="T119" t="s">
        <v>180</v>
      </c>
    </row>
    <row r="120" spans="1:20">
      <c r="A120">
        <v>223</v>
      </c>
      <c r="B120" t="s">
        <v>134</v>
      </c>
      <c r="C120" t="s">
        <v>12</v>
      </c>
      <c r="D120">
        <v>4</v>
      </c>
      <c r="E120">
        <v>85</v>
      </c>
      <c r="F120">
        <v>80</v>
      </c>
      <c r="G120">
        <v>82</v>
      </c>
      <c r="H120">
        <v>84</v>
      </c>
      <c r="I120" t="s">
        <v>13</v>
      </c>
      <c r="J120">
        <v>7</v>
      </c>
      <c r="K120">
        <v>3</v>
      </c>
      <c r="L120">
        <v>246</v>
      </c>
      <c r="M120">
        <v>82</v>
      </c>
      <c r="N120" t="s">
        <v>198</v>
      </c>
      <c r="O120">
        <v>20.5</v>
      </c>
      <c r="P120" t="s">
        <v>16</v>
      </c>
      <c r="Q120" t="s">
        <v>212</v>
      </c>
      <c r="R120" t="s">
        <v>213</v>
      </c>
      <c r="S120" t="s">
        <v>195</v>
      </c>
      <c r="T120" t="s">
        <v>180</v>
      </c>
    </row>
    <row r="121" spans="1:20">
      <c r="A121">
        <v>224</v>
      </c>
      <c r="B121" t="s">
        <v>28</v>
      </c>
      <c r="C121" t="s">
        <v>15</v>
      </c>
      <c r="D121">
        <v>5</v>
      </c>
      <c r="E121">
        <v>90</v>
      </c>
      <c r="F121">
        <v>86</v>
      </c>
      <c r="G121">
        <v>88</v>
      </c>
      <c r="H121">
        <v>89</v>
      </c>
      <c r="I121" t="s">
        <v>13</v>
      </c>
      <c r="J121">
        <v>6</v>
      </c>
      <c r="K121">
        <v>2</v>
      </c>
      <c r="L121">
        <v>263</v>
      </c>
      <c r="M121">
        <v>87.666666666666671</v>
      </c>
      <c r="N121" t="s">
        <v>198</v>
      </c>
      <c r="O121">
        <v>17.533333333333335</v>
      </c>
      <c r="P121" t="s">
        <v>16</v>
      </c>
      <c r="Q121" t="s">
        <v>212</v>
      </c>
      <c r="R121" t="s">
        <v>213</v>
      </c>
      <c r="S121" t="s">
        <v>195</v>
      </c>
      <c r="T121" t="s">
        <v>180</v>
      </c>
    </row>
    <row r="122" spans="1:20">
      <c r="A122">
        <v>226</v>
      </c>
      <c r="B122" t="s">
        <v>136</v>
      </c>
      <c r="C122" t="s">
        <v>15</v>
      </c>
      <c r="D122">
        <v>4</v>
      </c>
      <c r="E122">
        <v>88</v>
      </c>
      <c r="F122">
        <v>84</v>
      </c>
      <c r="G122">
        <v>83</v>
      </c>
      <c r="H122">
        <v>86</v>
      </c>
      <c r="I122" t="s">
        <v>13</v>
      </c>
      <c r="J122">
        <v>7</v>
      </c>
      <c r="K122">
        <v>3</v>
      </c>
      <c r="L122">
        <v>253</v>
      </c>
      <c r="M122">
        <v>84.333333333333329</v>
      </c>
      <c r="N122" t="s">
        <v>198</v>
      </c>
      <c r="O122">
        <v>21.083333333333332</v>
      </c>
      <c r="P122" t="s">
        <v>16</v>
      </c>
      <c r="Q122" t="s">
        <v>212</v>
      </c>
      <c r="R122" t="s">
        <v>213</v>
      </c>
      <c r="S122" t="s">
        <v>195</v>
      </c>
      <c r="T122" t="s">
        <v>180</v>
      </c>
    </row>
    <row r="123" spans="1:20">
      <c r="A123">
        <v>228</v>
      </c>
      <c r="B123" t="s">
        <v>138</v>
      </c>
      <c r="C123" t="s">
        <v>15</v>
      </c>
      <c r="D123">
        <v>5</v>
      </c>
      <c r="E123">
        <v>91</v>
      </c>
      <c r="F123">
        <v>87</v>
      </c>
      <c r="G123">
        <v>88</v>
      </c>
      <c r="H123">
        <v>90</v>
      </c>
      <c r="I123" t="s">
        <v>13</v>
      </c>
      <c r="J123">
        <v>6</v>
      </c>
      <c r="K123">
        <v>2</v>
      </c>
      <c r="L123">
        <v>265</v>
      </c>
      <c r="M123">
        <v>88.333333333333329</v>
      </c>
      <c r="N123" t="s">
        <v>198</v>
      </c>
      <c r="O123">
        <v>17.666666666666664</v>
      </c>
      <c r="P123" t="s">
        <v>16</v>
      </c>
      <c r="Q123" t="s">
        <v>212</v>
      </c>
      <c r="R123" t="s">
        <v>213</v>
      </c>
      <c r="S123" t="s">
        <v>195</v>
      </c>
      <c r="T123" t="s">
        <v>180</v>
      </c>
    </row>
    <row r="124" spans="1:20">
      <c r="A124">
        <v>230</v>
      </c>
      <c r="B124" t="s">
        <v>140</v>
      </c>
      <c r="C124" t="s">
        <v>15</v>
      </c>
      <c r="D124">
        <v>4</v>
      </c>
      <c r="E124">
        <v>85</v>
      </c>
      <c r="F124">
        <v>81</v>
      </c>
      <c r="G124">
        <v>82</v>
      </c>
      <c r="H124">
        <v>84</v>
      </c>
      <c r="I124" t="s">
        <v>13</v>
      </c>
      <c r="J124">
        <v>7</v>
      </c>
      <c r="K124">
        <v>3</v>
      </c>
      <c r="L124">
        <v>247</v>
      </c>
      <c r="M124">
        <v>82.333333333333329</v>
      </c>
      <c r="N124" t="s">
        <v>198</v>
      </c>
      <c r="O124">
        <v>20.583333333333332</v>
      </c>
      <c r="P124" t="s">
        <v>16</v>
      </c>
      <c r="Q124" t="s">
        <v>212</v>
      </c>
      <c r="R124" t="s">
        <v>213</v>
      </c>
      <c r="S124" t="s">
        <v>195</v>
      </c>
      <c r="T124" t="s">
        <v>180</v>
      </c>
    </row>
    <row r="125" spans="1:20">
      <c r="A125">
        <v>231</v>
      </c>
      <c r="B125" t="s">
        <v>141</v>
      </c>
      <c r="C125" t="s">
        <v>12</v>
      </c>
      <c r="D125">
        <v>6</v>
      </c>
      <c r="E125">
        <v>94</v>
      </c>
      <c r="F125">
        <v>91</v>
      </c>
      <c r="G125">
        <v>90</v>
      </c>
      <c r="H125">
        <v>92</v>
      </c>
      <c r="I125" t="s">
        <v>16</v>
      </c>
      <c r="J125">
        <v>6</v>
      </c>
      <c r="K125">
        <v>2</v>
      </c>
      <c r="L125">
        <v>273</v>
      </c>
      <c r="M125">
        <v>91</v>
      </c>
      <c r="N125" t="s">
        <v>198</v>
      </c>
      <c r="O125">
        <v>15.166666666666666</v>
      </c>
      <c r="P125" t="s">
        <v>16</v>
      </c>
      <c r="Q125" t="s">
        <v>212</v>
      </c>
      <c r="R125" t="s">
        <v>213</v>
      </c>
      <c r="S125" t="s">
        <v>195</v>
      </c>
      <c r="T125" t="s">
        <v>180</v>
      </c>
    </row>
    <row r="126" spans="1:20">
      <c r="A126">
        <v>233</v>
      </c>
      <c r="B126" t="s">
        <v>143</v>
      </c>
      <c r="C126" t="s">
        <v>15</v>
      </c>
      <c r="D126">
        <v>5</v>
      </c>
      <c r="E126">
        <v>90</v>
      </c>
      <c r="F126">
        <v>86</v>
      </c>
      <c r="G126">
        <v>88</v>
      </c>
      <c r="H126">
        <v>89</v>
      </c>
      <c r="I126" t="s">
        <v>13</v>
      </c>
      <c r="J126">
        <v>6</v>
      </c>
      <c r="K126">
        <v>2</v>
      </c>
      <c r="L126">
        <v>263</v>
      </c>
      <c r="M126">
        <v>87.666666666666671</v>
      </c>
      <c r="N126" t="s">
        <v>198</v>
      </c>
      <c r="O126">
        <v>17.533333333333335</v>
      </c>
      <c r="P126" t="s">
        <v>16</v>
      </c>
      <c r="Q126" t="s">
        <v>212</v>
      </c>
      <c r="R126" t="s">
        <v>213</v>
      </c>
      <c r="S126" t="s">
        <v>195</v>
      </c>
      <c r="T126" t="s">
        <v>180</v>
      </c>
    </row>
    <row r="127" spans="1:20">
      <c r="A127">
        <v>235</v>
      </c>
      <c r="B127" t="s">
        <v>144</v>
      </c>
      <c r="C127" t="s">
        <v>15</v>
      </c>
      <c r="D127">
        <v>4</v>
      </c>
      <c r="E127">
        <v>87</v>
      </c>
      <c r="F127">
        <v>83</v>
      </c>
      <c r="G127">
        <v>81</v>
      </c>
      <c r="H127">
        <v>85</v>
      </c>
      <c r="I127" t="s">
        <v>13</v>
      </c>
      <c r="J127">
        <v>6</v>
      </c>
      <c r="K127">
        <v>3</v>
      </c>
      <c r="L127">
        <v>249</v>
      </c>
      <c r="M127">
        <v>83</v>
      </c>
      <c r="N127" t="s">
        <v>198</v>
      </c>
      <c r="O127">
        <v>20.75</v>
      </c>
      <c r="P127" t="s">
        <v>16</v>
      </c>
      <c r="Q127" t="s">
        <v>212</v>
      </c>
      <c r="R127" t="s">
        <v>213</v>
      </c>
      <c r="S127" t="s">
        <v>195</v>
      </c>
      <c r="T127" t="s">
        <v>180</v>
      </c>
    </row>
    <row r="128" spans="1:20">
      <c r="A128">
        <v>237</v>
      </c>
      <c r="B128" t="s">
        <v>146</v>
      </c>
      <c r="C128" t="s">
        <v>15</v>
      </c>
      <c r="D128">
        <v>5</v>
      </c>
      <c r="E128">
        <v>92</v>
      </c>
      <c r="F128">
        <v>88</v>
      </c>
      <c r="G128">
        <v>90</v>
      </c>
      <c r="H128">
        <v>91</v>
      </c>
      <c r="I128" t="s">
        <v>13</v>
      </c>
      <c r="J128">
        <v>6</v>
      </c>
      <c r="K128">
        <v>2</v>
      </c>
      <c r="L128">
        <v>269</v>
      </c>
      <c r="M128">
        <v>89.666666666666671</v>
      </c>
      <c r="N128" t="s">
        <v>198</v>
      </c>
      <c r="O128">
        <v>17.933333333333334</v>
      </c>
      <c r="P128" t="s">
        <v>16</v>
      </c>
      <c r="Q128" t="s">
        <v>212</v>
      </c>
      <c r="R128" t="s">
        <v>213</v>
      </c>
      <c r="S128" t="s">
        <v>195</v>
      </c>
      <c r="T128" t="s">
        <v>180</v>
      </c>
    </row>
    <row r="129" spans="1:20">
      <c r="A129">
        <v>239</v>
      </c>
      <c r="B129" t="s">
        <v>148</v>
      </c>
      <c r="C129" t="s">
        <v>15</v>
      </c>
      <c r="D129">
        <v>4</v>
      </c>
      <c r="E129">
        <v>85</v>
      </c>
      <c r="F129">
        <v>80</v>
      </c>
      <c r="G129">
        <v>82</v>
      </c>
      <c r="H129">
        <v>84</v>
      </c>
      <c r="I129" t="s">
        <v>13</v>
      </c>
      <c r="J129">
        <v>7</v>
      </c>
      <c r="K129">
        <v>3</v>
      </c>
      <c r="L129">
        <v>246</v>
      </c>
      <c r="M129">
        <v>82</v>
      </c>
      <c r="N129" t="s">
        <v>198</v>
      </c>
      <c r="O129">
        <v>20.5</v>
      </c>
      <c r="P129" t="s">
        <v>16</v>
      </c>
      <c r="Q129" t="s">
        <v>212</v>
      </c>
      <c r="R129" t="s">
        <v>213</v>
      </c>
      <c r="S129" t="s">
        <v>195</v>
      </c>
      <c r="T129" t="s">
        <v>180</v>
      </c>
    </row>
    <row r="130" spans="1:20">
      <c r="A130">
        <v>240</v>
      </c>
      <c r="B130" t="s">
        <v>149</v>
      </c>
      <c r="C130" t="s">
        <v>12</v>
      </c>
      <c r="D130">
        <v>6</v>
      </c>
      <c r="E130">
        <v>94</v>
      </c>
      <c r="F130">
        <v>91</v>
      </c>
      <c r="G130">
        <v>90</v>
      </c>
      <c r="H130">
        <v>92</v>
      </c>
      <c r="I130" t="s">
        <v>16</v>
      </c>
      <c r="J130">
        <v>6</v>
      </c>
      <c r="K130">
        <v>2</v>
      </c>
      <c r="L130">
        <v>273</v>
      </c>
      <c r="M130">
        <v>91</v>
      </c>
      <c r="N130" t="s">
        <v>198</v>
      </c>
      <c r="O130">
        <v>15.166666666666666</v>
      </c>
      <c r="P130" t="s">
        <v>16</v>
      </c>
      <c r="Q130" t="s">
        <v>212</v>
      </c>
      <c r="R130" t="s">
        <v>213</v>
      </c>
      <c r="S130" t="s">
        <v>195</v>
      </c>
      <c r="T130" t="s">
        <v>180</v>
      </c>
    </row>
    <row r="131" spans="1:20">
      <c r="A131">
        <v>243</v>
      </c>
      <c r="B131" t="s">
        <v>114</v>
      </c>
      <c r="C131" t="s">
        <v>15</v>
      </c>
      <c r="D131">
        <v>5</v>
      </c>
      <c r="E131">
        <v>90</v>
      </c>
      <c r="F131">
        <v>86</v>
      </c>
      <c r="G131">
        <v>88</v>
      </c>
      <c r="H131">
        <v>89</v>
      </c>
      <c r="I131" t="s">
        <v>13</v>
      </c>
      <c r="J131">
        <v>6</v>
      </c>
      <c r="K131">
        <v>2</v>
      </c>
      <c r="L131">
        <v>263</v>
      </c>
      <c r="M131">
        <v>87.666666666666671</v>
      </c>
      <c r="N131" t="s">
        <v>198</v>
      </c>
      <c r="O131">
        <v>17.533333333333335</v>
      </c>
      <c r="P131" t="s">
        <v>16</v>
      </c>
      <c r="Q131" t="s">
        <v>212</v>
      </c>
      <c r="R131" t="s">
        <v>213</v>
      </c>
      <c r="S131" t="s">
        <v>195</v>
      </c>
      <c r="T131" t="s">
        <v>180</v>
      </c>
    </row>
    <row r="132" spans="1:20">
      <c r="A132">
        <v>245</v>
      </c>
      <c r="B132" t="s">
        <v>153</v>
      </c>
      <c r="C132" t="s">
        <v>15</v>
      </c>
      <c r="D132">
        <v>4</v>
      </c>
      <c r="E132">
        <v>87</v>
      </c>
      <c r="F132">
        <v>83</v>
      </c>
      <c r="G132">
        <v>81</v>
      </c>
      <c r="H132">
        <v>85</v>
      </c>
      <c r="I132" t="s">
        <v>13</v>
      </c>
      <c r="J132">
        <v>6</v>
      </c>
      <c r="K132">
        <v>3</v>
      </c>
      <c r="L132">
        <v>249</v>
      </c>
      <c r="M132">
        <v>83</v>
      </c>
      <c r="N132" t="s">
        <v>198</v>
      </c>
      <c r="O132">
        <v>20.75</v>
      </c>
      <c r="P132" t="s">
        <v>16</v>
      </c>
      <c r="Q132" t="s">
        <v>212</v>
      </c>
      <c r="R132" t="s">
        <v>213</v>
      </c>
      <c r="S132" t="s">
        <v>195</v>
      </c>
      <c r="T132" t="s">
        <v>180</v>
      </c>
    </row>
    <row r="133" spans="1:20">
      <c r="A133">
        <v>247</v>
      </c>
      <c r="B133" t="s">
        <v>154</v>
      </c>
      <c r="C133" t="s">
        <v>15</v>
      </c>
      <c r="D133">
        <v>5</v>
      </c>
      <c r="E133">
        <v>92</v>
      </c>
      <c r="F133">
        <v>88</v>
      </c>
      <c r="G133">
        <v>90</v>
      </c>
      <c r="H133">
        <v>91</v>
      </c>
      <c r="I133" t="s">
        <v>13</v>
      </c>
      <c r="J133">
        <v>6</v>
      </c>
      <c r="K133">
        <v>2</v>
      </c>
      <c r="L133">
        <v>269</v>
      </c>
      <c r="M133">
        <v>89.666666666666671</v>
      </c>
      <c r="N133" t="s">
        <v>198</v>
      </c>
      <c r="O133">
        <v>17.933333333333334</v>
      </c>
      <c r="P133" t="s">
        <v>16</v>
      </c>
      <c r="Q133" t="s">
        <v>212</v>
      </c>
      <c r="R133" t="s">
        <v>213</v>
      </c>
      <c r="S133" t="s">
        <v>195</v>
      </c>
      <c r="T133" t="s">
        <v>180</v>
      </c>
    </row>
    <row r="134" spans="1:20">
      <c r="A134">
        <v>249</v>
      </c>
      <c r="B134" t="s">
        <v>155</v>
      </c>
      <c r="C134" t="s">
        <v>15</v>
      </c>
      <c r="D134">
        <v>4</v>
      </c>
      <c r="E134">
        <v>85</v>
      </c>
      <c r="F134">
        <v>80</v>
      </c>
      <c r="G134">
        <v>82</v>
      </c>
      <c r="H134">
        <v>84</v>
      </c>
      <c r="I134" t="s">
        <v>13</v>
      </c>
      <c r="J134">
        <v>7</v>
      </c>
      <c r="K134">
        <v>3</v>
      </c>
      <c r="L134">
        <v>246</v>
      </c>
      <c r="M134">
        <v>82</v>
      </c>
      <c r="N134" t="s">
        <v>198</v>
      </c>
      <c r="O134">
        <v>20.5</v>
      </c>
      <c r="P134" t="s">
        <v>16</v>
      </c>
      <c r="Q134" t="s">
        <v>212</v>
      </c>
      <c r="R134" t="s">
        <v>213</v>
      </c>
      <c r="S134" t="s">
        <v>195</v>
      </c>
      <c r="T134" t="s">
        <v>180</v>
      </c>
    </row>
    <row r="135" spans="1:20">
      <c r="A135">
        <v>250</v>
      </c>
      <c r="B135" t="s">
        <v>156</v>
      </c>
      <c r="C135" t="s">
        <v>12</v>
      </c>
      <c r="D135">
        <v>6</v>
      </c>
      <c r="E135">
        <v>94</v>
      </c>
      <c r="F135">
        <v>91</v>
      </c>
      <c r="G135">
        <v>90</v>
      </c>
      <c r="H135">
        <v>92</v>
      </c>
      <c r="I135" t="s">
        <v>16</v>
      </c>
      <c r="J135">
        <v>6</v>
      </c>
      <c r="K135">
        <v>2</v>
      </c>
      <c r="L135">
        <v>273</v>
      </c>
      <c r="M135">
        <v>91</v>
      </c>
      <c r="N135" t="s">
        <v>198</v>
      </c>
      <c r="O135">
        <v>15.166666666666666</v>
      </c>
      <c r="P135" t="s">
        <v>16</v>
      </c>
      <c r="Q135" t="s">
        <v>212</v>
      </c>
      <c r="R135" t="s">
        <v>213</v>
      </c>
      <c r="S135" t="s">
        <v>195</v>
      </c>
      <c r="T135" t="s">
        <v>180</v>
      </c>
    </row>
    <row r="136" spans="1:20">
      <c r="A136">
        <v>252</v>
      </c>
      <c r="B136" t="s">
        <v>158</v>
      </c>
      <c r="C136" t="s">
        <v>15</v>
      </c>
      <c r="D136">
        <v>5</v>
      </c>
      <c r="E136">
        <v>90</v>
      </c>
      <c r="F136">
        <v>86</v>
      </c>
      <c r="G136">
        <v>88</v>
      </c>
      <c r="H136">
        <v>89</v>
      </c>
      <c r="I136" t="s">
        <v>13</v>
      </c>
      <c r="J136">
        <v>6</v>
      </c>
      <c r="K136">
        <v>2</v>
      </c>
      <c r="L136">
        <v>263</v>
      </c>
      <c r="M136">
        <v>87.666666666666671</v>
      </c>
      <c r="N136" t="s">
        <v>198</v>
      </c>
      <c r="O136">
        <v>17.533333333333335</v>
      </c>
      <c r="P136" t="s">
        <v>16</v>
      </c>
      <c r="Q136" t="s">
        <v>212</v>
      </c>
      <c r="R136" t="s">
        <v>213</v>
      </c>
      <c r="S136" t="s">
        <v>195</v>
      </c>
      <c r="T136" t="s">
        <v>180</v>
      </c>
    </row>
    <row r="137" spans="1:20">
      <c r="A137">
        <v>253</v>
      </c>
      <c r="B137" t="s">
        <v>63</v>
      </c>
      <c r="C137" t="s">
        <v>12</v>
      </c>
      <c r="D137">
        <v>0</v>
      </c>
      <c r="E137">
        <v>85</v>
      </c>
      <c r="F137">
        <v>80</v>
      </c>
      <c r="G137">
        <v>82</v>
      </c>
      <c r="H137">
        <v>84</v>
      </c>
      <c r="I137" t="s">
        <v>13</v>
      </c>
      <c r="J137">
        <v>7</v>
      </c>
      <c r="K137">
        <v>3</v>
      </c>
      <c r="L137">
        <v>246</v>
      </c>
      <c r="M137">
        <v>82</v>
      </c>
      <c r="N137" t="s">
        <v>198</v>
      </c>
      <c r="O137">
        <v>0</v>
      </c>
      <c r="P137" t="s">
        <v>16</v>
      </c>
      <c r="Q137" t="s">
        <v>214</v>
      </c>
      <c r="R137" t="s">
        <v>213</v>
      </c>
      <c r="S137" t="s">
        <v>195</v>
      </c>
      <c r="T137" t="s">
        <v>180</v>
      </c>
    </row>
    <row r="138" spans="1:20">
      <c r="A138">
        <v>255</v>
      </c>
      <c r="B138" t="s">
        <v>40</v>
      </c>
      <c r="C138" t="s">
        <v>15</v>
      </c>
      <c r="D138">
        <v>5</v>
      </c>
      <c r="E138">
        <v>92</v>
      </c>
      <c r="F138">
        <v>88</v>
      </c>
      <c r="G138">
        <v>90</v>
      </c>
      <c r="H138">
        <v>91</v>
      </c>
      <c r="I138" t="s">
        <v>13</v>
      </c>
      <c r="J138">
        <v>0</v>
      </c>
      <c r="K138">
        <v>2</v>
      </c>
      <c r="L138">
        <v>269</v>
      </c>
      <c r="M138">
        <v>89.666666666666671</v>
      </c>
      <c r="N138" t="s">
        <v>198</v>
      </c>
      <c r="O138">
        <v>17.933333333333334</v>
      </c>
      <c r="P138" t="s">
        <v>16</v>
      </c>
      <c r="Q138" t="s">
        <v>212</v>
      </c>
      <c r="R138" t="s">
        <v>215</v>
      </c>
      <c r="S138" t="s">
        <v>195</v>
      </c>
      <c r="T138" t="s">
        <v>180</v>
      </c>
    </row>
    <row r="139" spans="1:20">
      <c r="A139">
        <v>257</v>
      </c>
      <c r="B139" t="s">
        <v>158</v>
      </c>
      <c r="C139" t="s">
        <v>15</v>
      </c>
      <c r="D139">
        <v>5</v>
      </c>
      <c r="E139">
        <v>90</v>
      </c>
      <c r="F139">
        <v>86</v>
      </c>
      <c r="G139">
        <v>88</v>
      </c>
      <c r="H139">
        <v>89</v>
      </c>
      <c r="I139" t="s">
        <v>13</v>
      </c>
      <c r="J139">
        <v>6</v>
      </c>
      <c r="K139">
        <v>2</v>
      </c>
      <c r="L139">
        <v>263</v>
      </c>
      <c r="M139">
        <v>87.666666666666671</v>
      </c>
      <c r="N139" t="s">
        <v>198</v>
      </c>
      <c r="O139">
        <v>17.533333333333335</v>
      </c>
      <c r="P139" t="s">
        <v>16</v>
      </c>
      <c r="Q139" t="s">
        <v>212</v>
      </c>
      <c r="R139" t="s">
        <v>213</v>
      </c>
      <c r="S139" t="s">
        <v>195</v>
      </c>
      <c r="T139" t="s">
        <v>180</v>
      </c>
    </row>
    <row r="140" spans="1:20">
      <c r="A140">
        <v>258</v>
      </c>
      <c r="B140" t="s">
        <v>63</v>
      </c>
      <c r="C140" t="s">
        <v>12</v>
      </c>
      <c r="D140">
        <v>0</v>
      </c>
      <c r="E140">
        <v>85</v>
      </c>
      <c r="F140">
        <v>80</v>
      </c>
      <c r="G140">
        <v>82</v>
      </c>
      <c r="H140">
        <v>84</v>
      </c>
      <c r="I140" t="s">
        <v>13</v>
      </c>
      <c r="J140">
        <v>7</v>
      </c>
      <c r="K140">
        <v>3</v>
      </c>
      <c r="L140">
        <v>246</v>
      </c>
      <c r="M140">
        <v>82</v>
      </c>
      <c r="N140" t="s">
        <v>198</v>
      </c>
      <c r="O140">
        <v>0</v>
      </c>
      <c r="P140" t="s">
        <v>16</v>
      </c>
      <c r="Q140" t="s">
        <v>214</v>
      </c>
      <c r="R140" t="s">
        <v>213</v>
      </c>
      <c r="S140" t="s">
        <v>195</v>
      </c>
      <c r="T140" t="s">
        <v>180</v>
      </c>
    </row>
    <row r="141" spans="1:20">
      <c r="A141">
        <v>260</v>
      </c>
      <c r="B141" t="s">
        <v>40</v>
      </c>
      <c r="C141" t="s">
        <v>15</v>
      </c>
      <c r="D141">
        <v>5</v>
      </c>
      <c r="E141">
        <v>92</v>
      </c>
      <c r="F141">
        <v>88</v>
      </c>
      <c r="G141">
        <v>90</v>
      </c>
      <c r="H141">
        <v>91</v>
      </c>
      <c r="I141" t="s">
        <v>13</v>
      </c>
      <c r="J141">
        <v>0</v>
      </c>
      <c r="K141">
        <v>2</v>
      </c>
      <c r="L141">
        <v>269</v>
      </c>
      <c r="M141">
        <v>89.666666666666671</v>
      </c>
      <c r="N141" t="s">
        <v>198</v>
      </c>
      <c r="O141">
        <v>17.933333333333334</v>
      </c>
      <c r="P141" t="s">
        <v>16</v>
      </c>
      <c r="Q141" t="s">
        <v>212</v>
      </c>
      <c r="R141" t="s">
        <v>215</v>
      </c>
      <c r="S141" t="s">
        <v>195</v>
      </c>
      <c r="T141" t="s">
        <v>180</v>
      </c>
    </row>
    <row r="142" spans="1:20">
      <c r="A142">
        <v>261</v>
      </c>
      <c r="B142" t="s">
        <v>50</v>
      </c>
      <c r="C142" t="s">
        <v>15</v>
      </c>
      <c r="D142">
        <v>4</v>
      </c>
      <c r="E142">
        <v>87</v>
      </c>
      <c r="F142">
        <v>83</v>
      </c>
      <c r="G142">
        <v>81</v>
      </c>
      <c r="H142">
        <v>85</v>
      </c>
      <c r="I142" t="s">
        <v>13</v>
      </c>
      <c r="J142">
        <v>6</v>
      </c>
      <c r="K142">
        <v>3</v>
      </c>
      <c r="L142">
        <v>249</v>
      </c>
      <c r="M142">
        <v>83</v>
      </c>
      <c r="N142" t="s">
        <v>198</v>
      </c>
      <c r="O142">
        <v>20.75</v>
      </c>
      <c r="P142" t="s">
        <v>16</v>
      </c>
      <c r="Q142" t="s">
        <v>212</v>
      </c>
      <c r="R142" t="s">
        <v>213</v>
      </c>
      <c r="S142" t="s">
        <v>195</v>
      </c>
      <c r="T142" t="s">
        <v>180</v>
      </c>
    </row>
    <row r="143" spans="1:20">
      <c r="A143">
        <v>263</v>
      </c>
      <c r="B143" t="s">
        <v>154</v>
      </c>
      <c r="C143" t="s">
        <v>15</v>
      </c>
      <c r="D143">
        <v>5</v>
      </c>
      <c r="E143">
        <v>91</v>
      </c>
      <c r="F143">
        <v>87</v>
      </c>
      <c r="G143">
        <v>88</v>
      </c>
      <c r="H143">
        <v>90</v>
      </c>
      <c r="I143" t="s">
        <v>13</v>
      </c>
      <c r="J143">
        <v>6</v>
      </c>
      <c r="K143">
        <v>2</v>
      </c>
      <c r="L143">
        <v>265</v>
      </c>
      <c r="M143">
        <v>88.333333333333329</v>
      </c>
      <c r="N143" t="s">
        <v>198</v>
      </c>
      <c r="O143">
        <v>17.666666666666664</v>
      </c>
      <c r="P143" t="s">
        <v>16</v>
      </c>
      <c r="Q143" t="s">
        <v>212</v>
      </c>
      <c r="R143" t="s">
        <v>213</v>
      </c>
      <c r="S143" t="s">
        <v>195</v>
      </c>
      <c r="T143" t="s">
        <v>180</v>
      </c>
    </row>
    <row r="144" spans="1:20">
      <c r="A144">
        <v>264</v>
      </c>
      <c r="B144" t="s">
        <v>156</v>
      </c>
      <c r="C144" t="s">
        <v>12</v>
      </c>
      <c r="D144">
        <v>6</v>
      </c>
      <c r="E144">
        <v>94</v>
      </c>
      <c r="F144">
        <v>91</v>
      </c>
      <c r="G144">
        <v>90</v>
      </c>
      <c r="H144">
        <v>92</v>
      </c>
      <c r="I144" t="s">
        <v>16</v>
      </c>
      <c r="J144">
        <v>6</v>
      </c>
      <c r="K144">
        <v>2</v>
      </c>
      <c r="L144">
        <v>273</v>
      </c>
      <c r="M144">
        <v>91</v>
      </c>
      <c r="N144" t="s">
        <v>198</v>
      </c>
      <c r="O144">
        <v>15.166666666666666</v>
      </c>
      <c r="P144" t="s">
        <v>16</v>
      </c>
      <c r="Q144" t="s">
        <v>212</v>
      </c>
      <c r="R144" t="s">
        <v>213</v>
      </c>
      <c r="S144" t="s">
        <v>195</v>
      </c>
      <c r="T144" t="s">
        <v>180</v>
      </c>
    </row>
    <row r="145" spans="1:20">
      <c r="A145">
        <v>266</v>
      </c>
      <c r="B145" t="s">
        <v>28</v>
      </c>
      <c r="C145" t="s">
        <v>15</v>
      </c>
      <c r="D145">
        <v>4</v>
      </c>
      <c r="E145">
        <v>85</v>
      </c>
      <c r="F145">
        <v>80</v>
      </c>
      <c r="G145">
        <v>82</v>
      </c>
      <c r="H145">
        <v>84</v>
      </c>
      <c r="I145" t="s">
        <v>13</v>
      </c>
      <c r="J145">
        <v>7</v>
      </c>
      <c r="K145">
        <v>3</v>
      </c>
      <c r="L145">
        <v>246</v>
      </c>
      <c r="M145">
        <v>82</v>
      </c>
      <c r="N145" t="s">
        <v>198</v>
      </c>
      <c r="O145">
        <v>20.5</v>
      </c>
      <c r="P145" t="s">
        <v>16</v>
      </c>
      <c r="Q145" t="s">
        <v>212</v>
      </c>
      <c r="R145" t="s">
        <v>213</v>
      </c>
      <c r="S145" t="s">
        <v>195</v>
      </c>
      <c r="T145" t="s">
        <v>180</v>
      </c>
    </row>
    <row r="146" spans="1:20">
      <c r="A146">
        <v>268</v>
      </c>
      <c r="B146" t="s">
        <v>56</v>
      </c>
      <c r="C146" t="s">
        <v>15</v>
      </c>
      <c r="D146">
        <v>5</v>
      </c>
      <c r="E146">
        <v>92</v>
      </c>
      <c r="F146">
        <v>88</v>
      </c>
      <c r="G146">
        <v>90</v>
      </c>
      <c r="H146">
        <v>91</v>
      </c>
      <c r="I146" t="s">
        <v>13</v>
      </c>
      <c r="J146">
        <v>6</v>
      </c>
      <c r="K146">
        <v>2</v>
      </c>
      <c r="L146">
        <v>269</v>
      </c>
      <c r="M146">
        <v>89.666666666666671</v>
      </c>
      <c r="N146" t="s">
        <v>198</v>
      </c>
      <c r="O146">
        <v>17.933333333333334</v>
      </c>
      <c r="P146" t="s">
        <v>16</v>
      </c>
      <c r="Q146" t="s">
        <v>212</v>
      </c>
      <c r="R146" t="s">
        <v>213</v>
      </c>
      <c r="S146" t="s">
        <v>195</v>
      </c>
      <c r="T146" t="s">
        <v>180</v>
      </c>
    </row>
    <row r="147" spans="1:20">
      <c r="A147">
        <v>270</v>
      </c>
      <c r="B147" t="s">
        <v>117</v>
      </c>
      <c r="C147" t="s">
        <v>15</v>
      </c>
      <c r="D147">
        <v>4</v>
      </c>
      <c r="E147">
        <v>87</v>
      </c>
      <c r="F147">
        <v>83</v>
      </c>
      <c r="G147">
        <v>81</v>
      </c>
      <c r="H147">
        <v>85</v>
      </c>
      <c r="I147" t="s">
        <v>13</v>
      </c>
      <c r="J147">
        <v>6</v>
      </c>
      <c r="K147">
        <v>3</v>
      </c>
      <c r="L147">
        <v>249</v>
      </c>
      <c r="M147">
        <v>83</v>
      </c>
      <c r="N147" t="s">
        <v>198</v>
      </c>
      <c r="O147">
        <v>20.75</v>
      </c>
      <c r="P147" t="s">
        <v>16</v>
      </c>
      <c r="Q147" t="s">
        <v>212</v>
      </c>
      <c r="R147" t="s">
        <v>213</v>
      </c>
      <c r="S147" t="s">
        <v>195</v>
      </c>
      <c r="T147" t="s">
        <v>180</v>
      </c>
    </row>
    <row r="148" spans="1:20">
      <c r="A148">
        <v>272</v>
      </c>
      <c r="B148" t="s">
        <v>52</v>
      </c>
      <c r="C148" t="s">
        <v>15</v>
      </c>
      <c r="D148">
        <v>4</v>
      </c>
      <c r="E148">
        <v>85</v>
      </c>
      <c r="F148">
        <v>80</v>
      </c>
      <c r="G148">
        <v>82</v>
      </c>
      <c r="H148">
        <v>84</v>
      </c>
      <c r="I148" t="s">
        <v>13</v>
      </c>
      <c r="J148">
        <v>7</v>
      </c>
      <c r="K148">
        <v>3</v>
      </c>
      <c r="L148">
        <v>246</v>
      </c>
      <c r="M148">
        <v>82</v>
      </c>
      <c r="N148" t="s">
        <v>198</v>
      </c>
      <c r="O148">
        <v>20.5</v>
      </c>
      <c r="P148" t="s">
        <v>16</v>
      </c>
      <c r="Q148" t="s">
        <v>212</v>
      </c>
      <c r="R148" t="s">
        <v>213</v>
      </c>
      <c r="S148" t="s">
        <v>195</v>
      </c>
      <c r="T148" t="s">
        <v>180</v>
      </c>
    </row>
    <row r="149" spans="1:20">
      <c r="A149">
        <v>273</v>
      </c>
      <c r="B149" t="s">
        <v>47</v>
      </c>
      <c r="C149" t="s">
        <v>12</v>
      </c>
      <c r="D149">
        <v>6</v>
      </c>
      <c r="E149">
        <v>94</v>
      </c>
      <c r="F149">
        <v>91</v>
      </c>
      <c r="G149">
        <v>90</v>
      </c>
      <c r="H149">
        <v>92</v>
      </c>
      <c r="I149" t="s">
        <v>16</v>
      </c>
      <c r="J149">
        <v>6</v>
      </c>
      <c r="K149">
        <v>2</v>
      </c>
      <c r="L149">
        <v>273</v>
      </c>
      <c r="M149">
        <v>91</v>
      </c>
      <c r="N149" t="s">
        <v>198</v>
      </c>
      <c r="O149">
        <v>15.166666666666666</v>
      </c>
      <c r="P149" t="s">
        <v>16</v>
      </c>
      <c r="Q149" t="s">
        <v>212</v>
      </c>
      <c r="R149" t="s">
        <v>213</v>
      </c>
      <c r="S149" t="s">
        <v>195</v>
      </c>
      <c r="T149" t="s">
        <v>180</v>
      </c>
    </row>
    <row r="150" spans="1:20">
      <c r="A150">
        <v>276</v>
      </c>
      <c r="B150" t="s">
        <v>26</v>
      </c>
      <c r="C150" t="s">
        <v>15</v>
      </c>
      <c r="D150">
        <v>5</v>
      </c>
      <c r="E150">
        <v>90</v>
      </c>
      <c r="F150">
        <v>86</v>
      </c>
      <c r="G150">
        <v>88</v>
      </c>
      <c r="H150">
        <v>89</v>
      </c>
      <c r="I150" t="s">
        <v>13</v>
      </c>
      <c r="J150">
        <v>6</v>
      </c>
      <c r="K150">
        <v>2</v>
      </c>
      <c r="L150">
        <v>263</v>
      </c>
      <c r="M150">
        <v>87.666666666666671</v>
      </c>
      <c r="N150" t="s">
        <v>198</v>
      </c>
      <c r="O150">
        <v>17.533333333333335</v>
      </c>
      <c r="P150" t="s">
        <v>16</v>
      </c>
      <c r="Q150" t="s">
        <v>212</v>
      </c>
      <c r="R150" t="s">
        <v>213</v>
      </c>
      <c r="S150" t="s">
        <v>195</v>
      </c>
      <c r="T150" t="s">
        <v>180</v>
      </c>
    </row>
    <row r="151" spans="1:20">
      <c r="A151">
        <v>278</v>
      </c>
      <c r="B151" t="s">
        <v>64</v>
      </c>
      <c r="C151" t="s">
        <v>15</v>
      </c>
      <c r="D151">
        <v>4</v>
      </c>
      <c r="E151">
        <v>87</v>
      </c>
      <c r="F151">
        <v>83</v>
      </c>
      <c r="G151">
        <v>81</v>
      </c>
      <c r="H151">
        <v>85</v>
      </c>
      <c r="I151" t="s">
        <v>13</v>
      </c>
      <c r="J151">
        <v>6</v>
      </c>
      <c r="K151">
        <v>3</v>
      </c>
      <c r="L151">
        <v>249</v>
      </c>
      <c r="M151">
        <v>83</v>
      </c>
      <c r="N151" t="s">
        <v>198</v>
      </c>
      <c r="O151">
        <v>20.75</v>
      </c>
      <c r="P151" t="s">
        <v>16</v>
      </c>
      <c r="Q151" t="s">
        <v>212</v>
      </c>
      <c r="R151" t="s">
        <v>213</v>
      </c>
      <c r="S151" t="s">
        <v>195</v>
      </c>
      <c r="T151" t="s">
        <v>180</v>
      </c>
    </row>
    <row r="152" spans="1:20">
      <c r="A152">
        <v>280</v>
      </c>
      <c r="B152" t="s">
        <v>62</v>
      </c>
      <c r="C152" t="s">
        <v>15</v>
      </c>
      <c r="D152">
        <v>5</v>
      </c>
      <c r="E152">
        <v>92</v>
      </c>
      <c r="F152">
        <v>88</v>
      </c>
      <c r="G152">
        <v>90</v>
      </c>
      <c r="H152">
        <v>91</v>
      </c>
      <c r="I152" t="s">
        <v>13</v>
      </c>
      <c r="J152">
        <v>6</v>
      </c>
      <c r="K152">
        <v>2</v>
      </c>
      <c r="L152">
        <v>269</v>
      </c>
      <c r="M152">
        <v>89.666666666666671</v>
      </c>
      <c r="N152" t="s">
        <v>198</v>
      </c>
      <c r="O152">
        <v>17.933333333333334</v>
      </c>
      <c r="P152" t="s">
        <v>16</v>
      </c>
      <c r="Q152" t="s">
        <v>212</v>
      </c>
      <c r="R152" t="s">
        <v>213</v>
      </c>
      <c r="S152" t="s">
        <v>195</v>
      </c>
      <c r="T152" t="s">
        <v>180</v>
      </c>
    </row>
    <row r="153" spans="1:20">
      <c r="A153">
        <v>282</v>
      </c>
      <c r="B153" t="s">
        <v>38</v>
      </c>
      <c r="C153" t="s">
        <v>15</v>
      </c>
      <c r="D153">
        <v>4</v>
      </c>
      <c r="E153">
        <v>85</v>
      </c>
      <c r="F153">
        <v>80</v>
      </c>
      <c r="G153">
        <v>82</v>
      </c>
      <c r="H153">
        <v>84</v>
      </c>
      <c r="I153" t="s">
        <v>13</v>
      </c>
      <c r="J153">
        <v>7</v>
      </c>
      <c r="K153">
        <v>3</v>
      </c>
      <c r="L153">
        <v>246</v>
      </c>
      <c r="M153">
        <v>82</v>
      </c>
      <c r="N153" t="s">
        <v>198</v>
      </c>
      <c r="O153">
        <v>20.5</v>
      </c>
      <c r="P153" t="s">
        <v>16</v>
      </c>
      <c r="Q153" t="s">
        <v>212</v>
      </c>
      <c r="R153" t="s">
        <v>213</v>
      </c>
      <c r="S153" t="s">
        <v>195</v>
      </c>
      <c r="T153" t="s">
        <v>180</v>
      </c>
    </row>
    <row r="154" spans="1:20">
      <c r="A154">
        <v>283</v>
      </c>
      <c r="B154" t="s">
        <v>164</v>
      </c>
      <c r="C154" t="s">
        <v>12</v>
      </c>
      <c r="D154">
        <v>6</v>
      </c>
      <c r="E154">
        <v>94</v>
      </c>
      <c r="F154">
        <v>91</v>
      </c>
      <c r="G154">
        <v>90</v>
      </c>
      <c r="H154">
        <v>92</v>
      </c>
      <c r="I154" t="s">
        <v>16</v>
      </c>
      <c r="J154">
        <v>6</v>
      </c>
      <c r="K154">
        <v>2</v>
      </c>
      <c r="L154">
        <v>273</v>
      </c>
      <c r="M154">
        <v>91</v>
      </c>
      <c r="N154" t="s">
        <v>198</v>
      </c>
      <c r="O154">
        <v>15.166666666666666</v>
      </c>
      <c r="P154" t="s">
        <v>16</v>
      </c>
      <c r="Q154" t="s">
        <v>212</v>
      </c>
      <c r="R154" t="s">
        <v>213</v>
      </c>
      <c r="S154" t="s">
        <v>195</v>
      </c>
      <c r="T154" t="s">
        <v>180</v>
      </c>
    </row>
    <row r="155" spans="1:20">
      <c r="A155">
        <v>286</v>
      </c>
      <c r="B155" t="s">
        <v>58</v>
      </c>
      <c r="C155" t="s">
        <v>15</v>
      </c>
      <c r="D155">
        <v>5</v>
      </c>
      <c r="E155">
        <v>90</v>
      </c>
      <c r="F155">
        <v>86</v>
      </c>
      <c r="G155">
        <v>88</v>
      </c>
      <c r="H155">
        <v>89</v>
      </c>
      <c r="I155" t="s">
        <v>13</v>
      </c>
      <c r="J155">
        <v>6</v>
      </c>
      <c r="K155">
        <v>2</v>
      </c>
      <c r="L155">
        <v>263</v>
      </c>
      <c r="M155">
        <v>87.666666666666671</v>
      </c>
      <c r="N155" t="s">
        <v>198</v>
      </c>
      <c r="O155">
        <v>17.533333333333335</v>
      </c>
      <c r="P155" t="s">
        <v>16</v>
      </c>
      <c r="Q155" t="s">
        <v>212</v>
      </c>
      <c r="R155" t="s">
        <v>213</v>
      </c>
      <c r="S155" t="s">
        <v>195</v>
      </c>
      <c r="T155" t="s">
        <v>180</v>
      </c>
    </row>
    <row r="156" spans="1:20">
      <c r="A156">
        <v>288</v>
      </c>
      <c r="B156" t="s">
        <v>32</v>
      </c>
      <c r="C156" t="s">
        <v>15</v>
      </c>
      <c r="D156">
        <v>4</v>
      </c>
      <c r="E156">
        <v>87</v>
      </c>
      <c r="F156">
        <v>83</v>
      </c>
      <c r="G156">
        <v>81</v>
      </c>
      <c r="H156">
        <v>85</v>
      </c>
      <c r="I156" t="s">
        <v>13</v>
      </c>
      <c r="J156">
        <v>6</v>
      </c>
      <c r="K156">
        <v>3</v>
      </c>
      <c r="L156">
        <v>249</v>
      </c>
      <c r="M156">
        <v>83</v>
      </c>
      <c r="N156" t="s">
        <v>198</v>
      </c>
      <c r="O156">
        <v>20.75</v>
      </c>
      <c r="P156" t="s">
        <v>16</v>
      </c>
      <c r="Q156" t="s">
        <v>212</v>
      </c>
      <c r="R156" t="s">
        <v>213</v>
      </c>
      <c r="S156" t="s">
        <v>195</v>
      </c>
      <c r="T156" t="s">
        <v>180</v>
      </c>
    </row>
    <row r="157" spans="1:20">
      <c r="A157">
        <v>290</v>
      </c>
      <c r="B157" t="s">
        <v>155</v>
      </c>
      <c r="C157" t="s">
        <v>15</v>
      </c>
      <c r="D157">
        <v>5</v>
      </c>
      <c r="E157">
        <v>92</v>
      </c>
      <c r="F157">
        <v>88</v>
      </c>
      <c r="G157">
        <v>90</v>
      </c>
      <c r="H157">
        <v>91</v>
      </c>
      <c r="I157" t="s">
        <v>13</v>
      </c>
      <c r="J157">
        <v>6</v>
      </c>
      <c r="K157">
        <v>2</v>
      </c>
      <c r="L157">
        <v>269</v>
      </c>
      <c r="M157">
        <v>89.666666666666671</v>
      </c>
      <c r="N157" t="s">
        <v>198</v>
      </c>
      <c r="O157">
        <v>17.933333333333334</v>
      </c>
      <c r="P157" t="s">
        <v>16</v>
      </c>
      <c r="Q157" t="s">
        <v>212</v>
      </c>
      <c r="R157" t="s">
        <v>213</v>
      </c>
      <c r="S157" t="s">
        <v>195</v>
      </c>
      <c r="T157" t="s">
        <v>180</v>
      </c>
    </row>
    <row r="158" spans="1:20">
      <c r="A158">
        <v>292</v>
      </c>
      <c r="B158" t="s">
        <v>72</v>
      </c>
      <c r="C158" t="s">
        <v>12</v>
      </c>
      <c r="D158">
        <v>4</v>
      </c>
      <c r="E158">
        <v>85</v>
      </c>
      <c r="F158">
        <v>80</v>
      </c>
      <c r="G158">
        <v>82</v>
      </c>
      <c r="H158">
        <v>84</v>
      </c>
      <c r="I158" t="s">
        <v>13</v>
      </c>
      <c r="J158">
        <v>7</v>
      </c>
      <c r="K158">
        <v>3</v>
      </c>
      <c r="L158">
        <v>246</v>
      </c>
      <c r="M158">
        <v>82</v>
      </c>
      <c r="N158" t="s">
        <v>198</v>
      </c>
      <c r="O158">
        <v>20.5</v>
      </c>
      <c r="P158" t="s">
        <v>16</v>
      </c>
      <c r="Q158" t="s">
        <v>212</v>
      </c>
      <c r="R158" t="s">
        <v>213</v>
      </c>
      <c r="S158" t="s">
        <v>195</v>
      </c>
      <c r="T158" t="s">
        <v>180</v>
      </c>
    </row>
    <row r="159" spans="1:20">
      <c r="A159">
        <v>293</v>
      </c>
      <c r="B159" t="s">
        <v>30</v>
      </c>
      <c r="C159" t="s">
        <v>15</v>
      </c>
      <c r="D159">
        <v>6</v>
      </c>
      <c r="E159">
        <v>94</v>
      </c>
      <c r="F159">
        <v>91</v>
      </c>
      <c r="G159">
        <v>90</v>
      </c>
      <c r="H159">
        <v>92</v>
      </c>
      <c r="I159" t="s">
        <v>16</v>
      </c>
      <c r="J159">
        <v>6</v>
      </c>
      <c r="K159">
        <v>2</v>
      </c>
      <c r="L159">
        <v>273</v>
      </c>
      <c r="M159">
        <v>91</v>
      </c>
      <c r="N159" t="s">
        <v>198</v>
      </c>
      <c r="O159">
        <v>15.166666666666666</v>
      </c>
      <c r="P159" t="s">
        <v>16</v>
      </c>
      <c r="Q159" t="s">
        <v>212</v>
      </c>
      <c r="R159" t="s">
        <v>213</v>
      </c>
      <c r="S159" t="s">
        <v>195</v>
      </c>
      <c r="T159" t="s">
        <v>180</v>
      </c>
    </row>
    <row r="160" spans="1:20">
      <c r="A160">
        <v>295</v>
      </c>
      <c r="B160" t="s">
        <v>144</v>
      </c>
      <c r="C160" t="s">
        <v>15</v>
      </c>
      <c r="D160">
        <v>5</v>
      </c>
      <c r="E160">
        <v>90</v>
      </c>
      <c r="F160">
        <v>86</v>
      </c>
      <c r="G160">
        <v>88</v>
      </c>
      <c r="H160">
        <v>89</v>
      </c>
      <c r="I160" t="s">
        <v>13</v>
      </c>
      <c r="J160">
        <v>6</v>
      </c>
      <c r="K160">
        <v>2</v>
      </c>
      <c r="L160">
        <v>263</v>
      </c>
      <c r="M160">
        <v>87.666666666666671</v>
      </c>
      <c r="N160" t="s">
        <v>198</v>
      </c>
      <c r="O160">
        <v>17.533333333333335</v>
      </c>
      <c r="P160" t="s">
        <v>16</v>
      </c>
      <c r="Q160" t="s">
        <v>212</v>
      </c>
      <c r="R160" t="s">
        <v>213</v>
      </c>
      <c r="S160" t="s">
        <v>195</v>
      </c>
      <c r="T160" t="s">
        <v>180</v>
      </c>
    </row>
    <row r="161" spans="1:20">
      <c r="A161">
        <v>297</v>
      </c>
      <c r="B161" t="s">
        <v>40</v>
      </c>
      <c r="C161" t="s">
        <v>15</v>
      </c>
      <c r="D161">
        <v>4</v>
      </c>
      <c r="E161">
        <v>87</v>
      </c>
      <c r="F161">
        <v>83</v>
      </c>
      <c r="G161">
        <v>81</v>
      </c>
      <c r="H161">
        <v>85</v>
      </c>
      <c r="I161" t="s">
        <v>13</v>
      </c>
      <c r="J161">
        <v>6</v>
      </c>
      <c r="K161">
        <v>3</v>
      </c>
      <c r="L161">
        <v>249</v>
      </c>
      <c r="M161">
        <v>83</v>
      </c>
      <c r="N161" t="s">
        <v>198</v>
      </c>
      <c r="O161">
        <v>20.75</v>
      </c>
      <c r="P161" t="s">
        <v>16</v>
      </c>
      <c r="Q161" t="s">
        <v>212</v>
      </c>
      <c r="R161" t="s">
        <v>213</v>
      </c>
      <c r="S161" t="s">
        <v>195</v>
      </c>
      <c r="T161" t="s">
        <v>180</v>
      </c>
    </row>
    <row r="162" spans="1:20">
      <c r="A162">
        <v>299</v>
      </c>
      <c r="B162" t="s">
        <v>55</v>
      </c>
      <c r="C162" t="s">
        <v>12</v>
      </c>
      <c r="D162">
        <v>5</v>
      </c>
      <c r="E162">
        <v>92</v>
      </c>
      <c r="F162">
        <v>88</v>
      </c>
      <c r="G162">
        <v>90</v>
      </c>
      <c r="H162">
        <v>91</v>
      </c>
      <c r="I162" t="s">
        <v>13</v>
      </c>
      <c r="J162">
        <v>6</v>
      </c>
      <c r="K162">
        <v>2</v>
      </c>
      <c r="L162">
        <v>269</v>
      </c>
      <c r="M162">
        <v>89.666666666666671</v>
      </c>
      <c r="N162" t="s">
        <v>198</v>
      </c>
      <c r="O162">
        <v>17.933333333333334</v>
      </c>
      <c r="P162" t="s">
        <v>16</v>
      </c>
      <c r="Q162" t="s">
        <v>212</v>
      </c>
      <c r="R162" t="s">
        <v>213</v>
      </c>
      <c r="S162" t="s">
        <v>195</v>
      </c>
      <c r="T162" t="s">
        <v>180</v>
      </c>
    </row>
    <row r="163" spans="1:20">
      <c r="A163">
        <v>301</v>
      </c>
      <c r="B163" t="s">
        <v>165</v>
      </c>
      <c r="C163" t="s">
        <v>15</v>
      </c>
      <c r="D163">
        <v>4</v>
      </c>
      <c r="E163">
        <v>85</v>
      </c>
      <c r="F163">
        <v>80</v>
      </c>
      <c r="G163">
        <v>82</v>
      </c>
      <c r="H163">
        <v>84</v>
      </c>
      <c r="I163" t="s">
        <v>13</v>
      </c>
      <c r="J163">
        <v>7</v>
      </c>
      <c r="K163">
        <v>3</v>
      </c>
      <c r="L163">
        <v>246</v>
      </c>
      <c r="M163">
        <v>82</v>
      </c>
      <c r="N163" t="s">
        <v>198</v>
      </c>
      <c r="O163">
        <v>20.5</v>
      </c>
      <c r="P163" t="s">
        <v>16</v>
      </c>
      <c r="Q163" t="s">
        <v>212</v>
      </c>
      <c r="R163" t="s">
        <v>213</v>
      </c>
      <c r="S163" t="s">
        <v>195</v>
      </c>
      <c r="T163" t="s">
        <v>180</v>
      </c>
    </row>
    <row r="164" spans="1:20">
      <c r="A164">
        <v>303</v>
      </c>
      <c r="B164" t="s">
        <v>154</v>
      </c>
      <c r="C164" t="s">
        <v>15</v>
      </c>
      <c r="D164">
        <v>0</v>
      </c>
      <c r="E164">
        <v>85</v>
      </c>
      <c r="F164">
        <v>80</v>
      </c>
      <c r="G164">
        <v>82</v>
      </c>
      <c r="H164">
        <v>84</v>
      </c>
      <c r="I164" t="s">
        <v>13</v>
      </c>
      <c r="J164">
        <v>7</v>
      </c>
      <c r="K164">
        <v>3</v>
      </c>
      <c r="L164">
        <v>246</v>
      </c>
      <c r="M164">
        <v>82</v>
      </c>
      <c r="N164" t="s">
        <v>198</v>
      </c>
      <c r="O164">
        <v>0</v>
      </c>
      <c r="P164" t="s">
        <v>16</v>
      </c>
      <c r="Q164" t="s">
        <v>214</v>
      </c>
      <c r="R164" t="s">
        <v>213</v>
      </c>
      <c r="S164" t="s">
        <v>195</v>
      </c>
      <c r="T164" t="s">
        <v>180</v>
      </c>
    </row>
    <row r="165" spans="1:20">
      <c r="A165">
        <v>304</v>
      </c>
      <c r="B165" t="s">
        <v>68</v>
      </c>
      <c r="C165" t="s">
        <v>15</v>
      </c>
      <c r="D165">
        <v>4</v>
      </c>
      <c r="E165">
        <v>88</v>
      </c>
      <c r="F165">
        <v>82</v>
      </c>
      <c r="G165">
        <v>79</v>
      </c>
      <c r="H165">
        <v>85</v>
      </c>
      <c r="I165" t="s">
        <v>13</v>
      </c>
      <c r="J165">
        <v>7</v>
      </c>
      <c r="K165">
        <v>3</v>
      </c>
      <c r="L165">
        <v>246</v>
      </c>
      <c r="M165">
        <v>82</v>
      </c>
      <c r="N165" t="s">
        <v>198</v>
      </c>
      <c r="O165">
        <v>20.5</v>
      </c>
      <c r="P165" t="s">
        <v>16</v>
      </c>
      <c r="Q165" t="s">
        <v>212</v>
      </c>
      <c r="R165" t="s">
        <v>213</v>
      </c>
      <c r="S165" t="s">
        <v>195</v>
      </c>
      <c r="T165" t="s">
        <v>180</v>
      </c>
    </row>
    <row r="166" spans="1:20">
      <c r="A166">
        <v>306</v>
      </c>
      <c r="B166" t="s">
        <v>163</v>
      </c>
      <c r="C166" t="s">
        <v>12</v>
      </c>
      <c r="D166">
        <v>4</v>
      </c>
      <c r="E166">
        <v>88</v>
      </c>
      <c r="F166">
        <v>82</v>
      </c>
      <c r="G166">
        <v>80</v>
      </c>
      <c r="H166">
        <v>85</v>
      </c>
      <c r="I166" t="s">
        <v>13</v>
      </c>
      <c r="J166">
        <v>7</v>
      </c>
      <c r="K166">
        <v>3</v>
      </c>
      <c r="L166">
        <v>247</v>
      </c>
      <c r="M166">
        <v>82.333333333333329</v>
      </c>
      <c r="N166" t="s">
        <v>198</v>
      </c>
      <c r="O166">
        <v>20.583333333333332</v>
      </c>
      <c r="P166" t="s">
        <v>16</v>
      </c>
      <c r="Q166" t="s">
        <v>212</v>
      </c>
      <c r="R166" t="s">
        <v>213</v>
      </c>
      <c r="S166" t="s">
        <v>195</v>
      </c>
      <c r="T166" t="s">
        <v>180</v>
      </c>
    </row>
    <row r="167" spans="1:20">
      <c r="A167">
        <v>307</v>
      </c>
      <c r="B167" t="s">
        <v>158</v>
      </c>
      <c r="C167" t="s">
        <v>15</v>
      </c>
      <c r="D167">
        <v>5</v>
      </c>
      <c r="E167">
        <v>90</v>
      </c>
      <c r="F167">
        <v>86</v>
      </c>
      <c r="G167">
        <v>88</v>
      </c>
      <c r="H167">
        <v>89</v>
      </c>
      <c r="I167" t="s">
        <v>13</v>
      </c>
      <c r="J167">
        <v>6</v>
      </c>
      <c r="K167">
        <v>2</v>
      </c>
      <c r="L167">
        <v>263</v>
      </c>
      <c r="M167">
        <v>87.666666666666671</v>
      </c>
      <c r="N167" t="s">
        <v>198</v>
      </c>
      <c r="O167">
        <v>17.533333333333335</v>
      </c>
      <c r="P167" t="s">
        <v>16</v>
      </c>
      <c r="Q167" t="s">
        <v>212</v>
      </c>
      <c r="R167" t="s">
        <v>213</v>
      </c>
      <c r="S167" t="s">
        <v>195</v>
      </c>
      <c r="T167" t="s">
        <v>180</v>
      </c>
    </row>
    <row r="168" spans="1:20">
      <c r="A168">
        <v>308</v>
      </c>
      <c r="B168" t="s">
        <v>63</v>
      </c>
      <c r="C168" t="s">
        <v>12</v>
      </c>
      <c r="D168">
        <v>0</v>
      </c>
      <c r="E168">
        <v>85</v>
      </c>
      <c r="F168">
        <v>80</v>
      </c>
      <c r="G168">
        <v>82</v>
      </c>
      <c r="H168">
        <v>84</v>
      </c>
      <c r="I168" t="s">
        <v>13</v>
      </c>
      <c r="J168">
        <v>7</v>
      </c>
      <c r="K168">
        <v>3</v>
      </c>
      <c r="L168">
        <v>246</v>
      </c>
      <c r="M168">
        <v>82</v>
      </c>
      <c r="N168" t="s">
        <v>198</v>
      </c>
      <c r="O168">
        <v>0</v>
      </c>
      <c r="P168" t="s">
        <v>16</v>
      </c>
      <c r="Q168" t="s">
        <v>214</v>
      </c>
      <c r="R168" t="s">
        <v>213</v>
      </c>
      <c r="S168" t="s">
        <v>195</v>
      </c>
      <c r="T168" t="s">
        <v>180</v>
      </c>
    </row>
    <row r="169" spans="1:20">
      <c r="A169">
        <v>310</v>
      </c>
      <c r="B169" t="s">
        <v>40</v>
      </c>
      <c r="C169" t="s">
        <v>15</v>
      </c>
      <c r="D169">
        <v>5</v>
      </c>
      <c r="E169">
        <v>92</v>
      </c>
      <c r="F169">
        <v>88</v>
      </c>
      <c r="G169">
        <v>90</v>
      </c>
      <c r="H169">
        <v>91</v>
      </c>
      <c r="I169" t="s">
        <v>13</v>
      </c>
      <c r="J169">
        <v>0</v>
      </c>
      <c r="K169">
        <v>2</v>
      </c>
      <c r="L169">
        <v>269</v>
      </c>
      <c r="M169">
        <v>89.666666666666671</v>
      </c>
      <c r="N169" t="s">
        <v>198</v>
      </c>
      <c r="O169">
        <v>17.933333333333334</v>
      </c>
      <c r="P169" t="s">
        <v>16</v>
      </c>
      <c r="Q169" t="s">
        <v>212</v>
      </c>
      <c r="R169" t="s">
        <v>215</v>
      </c>
      <c r="S169" t="s">
        <v>195</v>
      </c>
      <c r="T169" t="s">
        <v>180</v>
      </c>
    </row>
    <row r="170" spans="1:20">
      <c r="A170">
        <v>312</v>
      </c>
      <c r="B170" t="s">
        <v>50</v>
      </c>
      <c r="C170" t="s">
        <v>15</v>
      </c>
      <c r="D170">
        <v>4</v>
      </c>
      <c r="E170">
        <v>87</v>
      </c>
      <c r="F170">
        <v>83</v>
      </c>
      <c r="G170">
        <v>81</v>
      </c>
      <c r="H170">
        <v>85</v>
      </c>
      <c r="I170" t="s">
        <v>13</v>
      </c>
      <c r="J170">
        <v>6</v>
      </c>
      <c r="K170">
        <v>3</v>
      </c>
      <c r="L170">
        <v>249</v>
      </c>
      <c r="M170">
        <v>83</v>
      </c>
      <c r="N170" t="s">
        <v>198</v>
      </c>
      <c r="O170">
        <v>20.75</v>
      </c>
      <c r="P170" t="s">
        <v>16</v>
      </c>
      <c r="Q170" t="s">
        <v>212</v>
      </c>
      <c r="R170" t="s">
        <v>213</v>
      </c>
      <c r="S170" t="s">
        <v>195</v>
      </c>
      <c r="T170" t="s">
        <v>180</v>
      </c>
    </row>
    <row r="171" spans="1:20">
      <c r="A171">
        <v>314</v>
      </c>
      <c r="B171" t="s">
        <v>154</v>
      </c>
      <c r="C171" t="s">
        <v>15</v>
      </c>
      <c r="D171">
        <v>5</v>
      </c>
      <c r="E171">
        <v>91</v>
      </c>
      <c r="F171">
        <v>87</v>
      </c>
      <c r="G171">
        <v>88</v>
      </c>
      <c r="H171">
        <v>90</v>
      </c>
      <c r="I171" t="s">
        <v>13</v>
      </c>
      <c r="J171">
        <v>6</v>
      </c>
      <c r="K171">
        <v>2</v>
      </c>
      <c r="L171">
        <v>265</v>
      </c>
      <c r="M171">
        <v>88.333333333333329</v>
      </c>
      <c r="N171" t="s">
        <v>198</v>
      </c>
      <c r="O171">
        <v>17.666666666666664</v>
      </c>
      <c r="P171" t="s">
        <v>16</v>
      </c>
      <c r="Q171" t="s">
        <v>212</v>
      </c>
      <c r="R171" t="s">
        <v>213</v>
      </c>
      <c r="S171" t="s">
        <v>195</v>
      </c>
      <c r="T171" t="s">
        <v>180</v>
      </c>
    </row>
    <row r="172" spans="1:20">
      <c r="A172">
        <v>315</v>
      </c>
      <c r="B172" t="s">
        <v>156</v>
      </c>
      <c r="C172" t="s">
        <v>12</v>
      </c>
      <c r="D172">
        <v>6</v>
      </c>
      <c r="E172">
        <v>94</v>
      </c>
      <c r="F172">
        <v>91</v>
      </c>
      <c r="G172">
        <v>90</v>
      </c>
      <c r="H172">
        <v>92</v>
      </c>
      <c r="I172" t="s">
        <v>16</v>
      </c>
      <c r="J172">
        <v>6</v>
      </c>
      <c r="K172">
        <v>2</v>
      </c>
      <c r="L172">
        <v>273</v>
      </c>
      <c r="M172">
        <v>91</v>
      </c>
      <c r="N172" t="s">
        <v>198</v>
      </c>
      <c r="O172">
        <v>15.166666666666666</v>
      </c>
      <c r="P172" t="s">
        <v>16</v>
      </c>
      <c r="Q172" t="s">
        <v>212</v>
      </c>
      <c r="R172" t="s">
        <v>213</v>
      </c>
      <c r="S172" t="s">
        <v>195</v>
      </c>
      <c r="T172" t="s">
        <v>180</v>
      </c>
    </row>
    <row r="173" spans="1:20">
      <c r="A173">
        <v>317</v>
      </c>
      <c r="B173" t="s">
        <v>28</v>
      </c>
      <c r="C173" t="s">
        <v>15</v>
      </c>
      <c r="D173">
        <v>4</v>
      </c>
      <c r="E173">
        <v>85</v>
      </c>
      <c r="F173">
        <v>80</v>
      </c>
      <c r="G173">
        <v>82</v>
      </c>
      <c r="H173">
        <v>84</v>
      </c>
      <c r="I173" t="s">
        <v>13</v>
      </c>
      <c r="J173">
        <v>7</v>
      </c>
      <c r="K173">
        <v>3</v>
      </c>
      <c r="L173">
        <v>246</v>
      </c>
      <c r="M173">
        <v>82</v>
      </c>
      <c r="N173" t="s">
        <v>198</v>
      </c>
      <c r="O173">
        <v>20.5</v>
      </c>
      <c r="P173" t="s">
        <v>16</v>
      </c>
      <c r="Q173" t="s">
        <v>212</v>
      </c>
      <c r="R173" t="s">
        <v>213</v>
      </c>
      <c r="S173" t="s">
        <v>195</v>
      </c>
      <c r="T173" t="s">
        <v>180</v>
      </c>
    </row>
    <row r="174" spans="1:20">
      <c r="A174">
        <v>319</v>
      </c>
      <c r="B174" t="s">
        <v>56</v>
      </c>
      <c r="C174" t="s">
        <v>15</v>
      </c>
      <c r="D174">
        <v>5</v>
      </c>
      <c r="E174">
        <v>92</v>
      </c>
      <c r="F174">
        <v>88</v>
      </c>
      <c r="G174">
        <v>90</v>
      </c>
      <c r="H174">
        <v>91</v>
      </c>
      <c r="I174" t="s">
        <v>13</v>
      </c>
      <c r="J174">
        <v>6</v>
      </c>
      <c r="K174">
        <v>2</v>
      </c>
      <c r="L174">
        <v>269</v>
      </c>
      <c r="M174">
        <v>89.666666666666671</v>
      </c>
      <c r="N174" t="s">
        <v>198</v>
      </c>
      <c r="O174">
        <v>17.933333333333334</v>
      </c>
      <c r="P174" t="s">
        <v>16</v>
      </c>
      <c r="Q174" t="s">
        <v>212</v>
      </c>
      <c r="R174" t="s">
        <v>213</v>
      </c>
      <c r="S174" t="s">
        <v>195</v>
      </c>
      <c r="T174" t="s">
        <v>180</v>
      </c>
    </row>
    <row r="175" spans="1:20">
      <c r="A175">
        <v>321</v>
      </c>
      <c r="B175" t="s">
        <v>18</v>
      </c>
      <c r="C175" t="s">
        <v>15</v>
      </c>
      <c r="D175">
        <v>4</v>
      </c>
      <c r="E175">
        <v>87</v>
      </c>
      <c r="F175">
        <v>83</v>
      </c>
      <c r="G175">
        <v>81</v>
      </c>
      <c r="H175">
        <v>85</v>
      </c>
      <c r="I175" t="s">
        <v>13</v>
      </c>
      <c r="J175">
        <v>6</v>
      </c>
      <c r="K175">
        <v>3</v>
      </c>
      <c r="L175">
        <v>249</v>
      </c>
      <c r="M175">
        <v>83</v>
      </c>
      <c r="N175" t="s">
        <v>198</v>
      </c>
      <c r="O175">
        <v>20.75</v>
      </c>
      <c r="P175" t="s">
        <v>16</v>
      </c>
      <c r="Q175" t="s">
        <v>212</v>
      </c>
      <c r="R175" t="s">
        <v>213</v>
      </c>
      <c r="S175" t="s">
        <v>195</v>
      </c>
      <c r="T175" t="s">
        <v>180</v>
      </c>
    </row>
    <row r="176" spans="1:20">
      <c r="A176">
        <v>323</v>
      </c>
      <c r="B176" t="s">
        <v>117</v>
      </c>
      <c r="C176" t="s">
        <v>15</v>
      </c>
      <c r="D176">
        <v>5</v>
      </c>
      <c r="E176">
        <v>91</v>
      </c>
      <c r="F176">
        <v>87</v>
      </c>
      <c r="G176">
        <v>88</v>
      </c>
      <c r="H176">
        <v>90</v>
      </c>
      <c r="I176" t="s">
        <v>13</v>
      </c>
      <c r="J176">
        <v>6</v>
      </c>
      <c r="K176">
        <v>2</v>
      </c>
      <c r="L176">
        <v>265</v>
      </c>
      <c r="M176">
        <v>88.333333333333329</v>
      </c>
      <c r="N176" t="s">
        <v>198</v>
      </c>
      <c r="O176">
        <v>17.666666666666664</v>
      </c>
      <c r="P176" t="s">
        <v>16</v>
      </c>
      <c r="Q176" t="s">
        <v>212</v>
      </c>
      <c r="R176" t="s">
        <v>213</v>
      </c>
      <c r="S176" t="s">
        <v>195</v>
      </c>
      <c r="T176" t="s">
        <v>180</v>
      </c>
    </row>
    <row r="177" spans="1:20">
      <c r="A177">
        <v>325</v>
      </c>
      <c r="B177" t="s">
        <v>52</v>
      </c>
      <c r="C177" t="s">
        <v>15</v>
      </c>
      <c r="D177">
        <v>4</v>
      </c>
      <c r="E177">
        <v>85</v>
      </c>
      <c r="F177">
        <v>80</v>
      </c>
      <c r="G177">
        <v>82</v>
      </c>
      <c r="H177">
        <v>84</v>
      </c>
      <c r="I177" t="s">
        <v>13</v>
      </c>
      <c r="J177">
        <v>7</v>
      </c>
      <c r="K177">
        <v>3</v>
      </c>
      <c r="L177">
        <v>246</v>
      </c>
      <c r="M177">
        <v>82</v>
      </c>
      <c r="N177" t="s">
        <v>198</v>
      </c>
      <c r="O177">
        <v>20.5</v>
      </c>
      <c r="P177" t="s">
        <v>16</v>
      </c>
      <c r="Q177" t="s">
        <v>212</v>
      </c>
      <c r="R177" t="s">
        <v>213</v>
      </c>
      <c r="S177" t="s">
        <v>195</v>
      </c>
      <c r="T177" t="s">
        <v>180</v>
      </c>
    </row>
    <row r="178" spans="1:20">
      <c r="A178">
        <v>326</v>
      </c>
      <c r="B178" t="s">
        <v>47</v>
      </c>
      <c r="C178" t="s">
        <v>12</v>
      </c>
      <c r="D178">
        <v>6</v>
      </c>
      <c r="E178">
        <v>94</v>
      </c>
      <c r="F178">
        <v>91</v>
      </c>
      <c r="G178">
        <v>90</v>
      </c>
      <c r="H178">
        <v>92</v>
      </c>
      <c r="I178" t="s">
        <v>16</v>
      </c>
      <c r="J178">
        <v>6</v>
      </c>
      <c r="K178">
        <v>2</v>
      </c>
      <c r="L178">
        <v>273</v>
      </c>
      <c r="M178">
        <v>91</v>
      </c>
      <c r="N178" t="s">
        <v>198</v>
      </c>
      <c r="O178">
        <v>15.166666666666666</v>
      </c>
      <c r="P178" t="s">
        <v>16</v>
      </c>
      <c r="Q178" t="s">
        <v>212</v>
      </c>
      <c r="R178" t="s">
        <v>213</v>
      </c>
      <c r="S178" t="s">
        <v>195</v>
      </c>
      <c r="T178" t="s">
        <v>180</v>
      </c>
    </row>
    <row r="179" spans="1:20">
      <c r="A179">
        <v>329</v>
      </c>
      <c r="B179" t="s">
        <v>26</v>
      </c>
      <c r="C179" t="s">
        <v>15</v>
      </c>
      <c r="D179">
        <v>5</v>
      </c>
      <c r="E179">
        <v>90</v>
      </c>
      <c r="F179">
        <v>86</v>
      </c>
      <c r="G179">
        <v>88</v>
      </c>
      <c r="H179">
        <v>89</v>
      </c>
      <c r="I179" t="s">
        <v>13</v>
      </c>
      <c r="J179">
        <v>6</v>
      </c>
      <c r="K179">
        <v>2</v>
      </c>
      <c r="L179">
        <v>263</v>
      </c>
      <c r="M179">
        <v>87.666666666666671</v>
      </c>
      <c r="N179" t="s">
        <v>198</v>
      </c>
      <c r="O179">
        <v>17.533333333333335</v>
      </c>
      <c r="P179" t="s">
        <v>16</v>
      </c>
      <c r="Q179" t="s">
        <v>212</v>
      </c>
      <c r="R179" t="s">
        <v>213</v>
      </c>
      <c r="S179" t="s">
        <v>195</v>
      </c>
      <c r="T179" t="s">
        <v>180</v>
      </c>
    </row>
    <row r="180" spans="1:20">
      <c r="A180">
        <v>331</v>
      </c>
      <c r="B180" t="s">
        <v>64</v>
      </c>
      <c r="C180" t="s">
        <v>15</v>
      </c>
      <c r="D180">
        <v>4</v>
      </c>
      <c r="E180">
        <v>87</v>
      </c>
      <c r="F180">
        <v>83</v>
      </c>
      <c r="G180">
        <v>81</v>
      </c>
      <c r="H180">
        <v>85</v>
      </c>
      <c r="I180" t="s">
        <v>13</v>
      </c>
      <c r="J180">
        <v>6</v>
      </c>
      <c r="K180">
        <v>3</v>
      </c>
      <c r="L180">
        <v>249</v>
      </c>
      <c r="M180">
        <v>83</v>
      </c>
      <c r="N180" t="s">
        <v>198</v>
      </c>
      <c r="O180">
        <v>20.75</v>
      </c>
      <c r="P180" t="s">
        <v>16</v>
      </c>
      <c r="Q180" t="s">
        <v>212</v>
      </c>
      <c r="R180" t="s">
        <v>213</v>
      </c>
      <c r="S180" t="s">
        <v>195</v>
      </c>
      <c r="T180" t="s">
        <v>180</v>
      </c>
    </row>
    <row r="181" spans="1:20">
      <c r="A181">
        <v>333</v>
      </c>
      <c r="B181" t="s">
        <v>62</v>
      </c>
      <c r="C181" t="s">
        <v>15</v>
      </c>
      <c r="D181">
        <v>5</v>
      </c>
      <c r="E181">
        <v>92</v>
      </c>
      <c r="F181">
        <v>88</v>
      </c>
      <c r="G181">
        <v>90</v>
      </c>
      <c r="H181">
        <v>91</v>
      </c>
      <c r="I181" t="s">
        <v>13</v>
      </c>
      <c r="J181">
        <v>6</v>
      </c>
      <c r="K181">
        <v>2</v>
      </c>
      <c r="L181">
        <v>269</v>
      </c>
      <c r="M181">
        <v>89.666666666666671</v>
      </c>
      <c r="N181" t="s">
        <v>198</v>
      </c>
      <c r="O181">
        <v>17.933333333333334</v>
      </c>
      <c r="P181" t="s">
        <v>16</v>
      </c>
      <c r="Q181" t="s">
        <v>212</v>
      </c>
      <c r="R181" t="s">
        <v>213</v>
      </c>
      <c r="S181" t="s">
        <v>195</v>
      </c>
      <c r="T181" t="s">
        <v>180</v>
      </c>
    </row>
    <row r="182" spans="1:20">
      <c r="A182">
        <v>335</v>
      </c>
      <c r="B182" t="s">
        <v>38</v>
      </c>
      <c r="C182" t="s">
        <v>15</v>
      </c>
      <c r="D182">
        <v>4</v>
      </c>
      <c r="E182">
        <v>85</v>
      </c>
      <c r="F182">
        <v>80</v>
      </c>
      <c r="G182">
        <v>82</v>
      </c>
      <c r="H182">
        <v>84</v>
      </c>
      <c r="I182" t="s">
        <v>13</v>
      </c>
      <c r="J182">
        <v>7</v>
      </c>
      <c r="K182">
        <v>3</v>
      </c>
      <c r="L182">
        <v>246</v>
      </c>
      <c r="M182">
        <v>82</v>
      </c>
      <c r="N182" t="s">
        <v>198</v>
      </c>
      <c r="O182">
        <v>20.5</v>
      </c>
      <c r="P182" t="s">
        <v>16</v>
      </c>
      <c r="Q182" t="s">
        <v>212</v>
      </c>
      <c r="R182" t="s">
        <v>213</v>
      </c>
      <c r="S182" t="s">
        <v>195</v>
      </c>
      <c r="T182" t="s">
        <v>180</v>
      </c>
    </row>
    <row r="183" spans="1:20">
      <c r="A183">
        <v>336</v>
      </c>
      <c r="B183" t="s">
        <v>164</v>
      </c>
      <c r="C183" t="s">
        <v>12</v>
      </c>
      <c r="D183">
        <v>6</v>
      </c>
      <c r="E183">
        <v>94</v>
      </c>
      <c r="F183">
        <v>91</v>
      </c>
      <c r="G183">
        <v>90</v>
      </c>
      <c r="H183">
        <v>92</v>
      </c>
      <c r="I183" t="s">
        <v>16</v>
      </c>
      <c r="J183">
        <v>6</v>
      </c>
      <c r="K183">
        <v>2</v>
      </c>
      <c r="L183">
        <v>273</v>
      </c>
      <c r="M183">
        <v>91</v>
      </c>
      <c r="N183" t="s">
        <v>198</v>
      </c>
      <c r="O183">
        <v>15.166666666666666</v>
      </c>
      <c r="P183" t="s">
        <v>16</v>
      </c>
      <c r="Q183" t="s">
        <v>212</v>
      </c>
      <c r="R183" t="s">
        <v>213</v>
      </c>
      <c r="S183" t="s">
        <v>195</v>
      </c>
      <c r="T183" t="s">
        <v>180</v>
      </c>
    </row>
    <row r="184" spans="1:20">
      <c r="A184">
        <v>339</v>
      </c>
      <c r="B184" t="s">
        <v>58</v>
      </c>
      <c r="C184" t="s">
        <v>15</v>
      </c>
      <c r="D184">
        <v>5</v>
      </c>
      <c r="E184">
        <v>90</v>
      </c>
      <c r="F184">
        <v>86</v>
      </c>
      <c r="G184">
        <v>88</v>
      </c>
      <c r="H184">
        <v>89</v>
      </c>
      <c r="I184" t="s">
        <v>13</v>
      </c>
      <c r="J184">
        <v>6</v>
      </c>
      <c r="K184">
        <v>2</v>
      </c>
      <c r="L184">
        <v>263</v>
      </c>
      <c r="M184">
        <v>87.666666666666671</v>
      </c>
      <c r="N184" t="s">
        <v>198</v>
      </c>
      <c r="O184">
        <v>17.533333333333335</v>
      </c>
      <c r="P184" t="s">
        <v>16</v>
      </c>
      <c r="Q184" t="s">
        <v>212</v>
      </c>
      <c r="R184" t="s">
        <v>213</v>
      </c>
      <c r="S184" t="s">
        <v>195</v>
      </c>
      <c r="T184" t="s">
        <v>180</v>
      </c>
    </row>
    <row r="185" spans="1:20">
      <c r="A185">
        <v>341</v>
      </c>
      <c r="B185" t="s">
        <v>32</v>
      </c>
      <c r="C185" t="s">
        <v>15</v>
      </c>
      <c r="D185">
        <v>4</v>
      </c>
      <c r="E185">
        <v>87</v>
      </c>
      <c r="F185">
        <v>83</v>
      </c>
      <c r="G185">
        <v>81</v>
      </c>
      <c r="H185">
        <v>85</v>
      </c>
      <c r="I185" t="s">
        <v>13</v>
      </c>
      <c r="J185">
        <v>6</v>
      </c>
      <c r="K185">
        <v>3</v>
      </c>
      <c r="L185">
        <v>249</v>
      </c>
      <c r="M185">
        <v>83</v>
      </c>
      <c r="N185" t="s">
        <v>198</v>
      </c>
      <c r="O185">
        <v>20.75</v>
      </c>
      <c r="P185" t="s">
        <v>16</v>
      </c>
      <c r="Q185" t="s">
        <v>212</v>
      </c>
      <c r="R185" t="s">
        <v>213</v>
      </c>
      <c r="S185" t="s">
        <v>195</v>
      </c>
      <c r="T185" t="s">
        <v>180</v>
      </c>
    </row>
    <row r="186" spans="1:20">
      <c r="A186">
        <v>343</v>
      </c>
      <c r="B186" t="s">
        <v>155</v>
      </c>
      <c r="C186" t="s">
        <v>15</v>
      </c>
      <c r="D186">
        <v>5</v>
      </c>
      <c r="E186">
        <v>92</v>
      </c>
      <c r="F186">
        <v>88</v>
      </c>
      <c r="G186">
        <v>90</v>
      </c>
      <c r="H186">
        <v>91</v>
      </c>
      <c r="I186" t="s">
        <v>13</v>
      </c>
      <c r="J186">
        <v>6</v>
      </c>
      <c r="K186">
        <v>2</v>
      </c>
      <c r="L186">
        <v>269</v>
      </c>
      <c r="M186">
        <v>89.666666666666671</v>
      </c>
      <c r="N186" t="s">
        <v>198</v>
      </c>
      <c r="O186">
        <v>17.933333333333334</v>
      </c>
      <c r="P186" t="s">
        <v>16</v>
      </c>
      <c r="Q186" t="s">
        <v>212</v>
      </c>
      <c r="R186" t="s">
        <v>213</v>
      </c>
      <c r="S186" t="s">
        <v>195</v>
      </c>
      <c r="T186" t="s">
        <v>180</v>
      </c>
    </row>
    <row r="187" spans="1:20">
      <c r="A187">
        <v>345</v>
      </c>
      <c r="B187" t="s">
        <v>72</v>
      </c>
      <c r="C187" t="s">
        <v>12</v>
      </c>
      <c r="D187">
        <v>4</v>
      </c>
      <c r="E187">
        <v>85</v>
      </c>
      <c r="F187">
        <v>80</v>
      </c>
      <c r="G187">
        <v>82</v>
      </c>
      <c r="H187">
        <v>84</v>
      </c>
      <c r="I187" t="s">
        <v>13</v>
      </c>
      <c r="J187">
        <v>7</v>
      </c>
      <c r="K187">
        <v>3</v>
      </c>
      <c r="L187">
        <v>246</v>
      </c>
      <c r="M187">
        <v>82</v>
      </c>
      <c r="N187" t="s">
        <v>198</v>
      </c>
      <c r="O187">
        <v>20.5</v>
      </c>
      <c r="P187" t="s">
        <v>16</v>
      </c>
      <c r="Q187" t="s">
        <v>212</v>
      </c>
      <c r="R187" t="s">
        <v>213</v>
      </c>
      <c r="S187" t="s">
        <v>195</v>
      </c>
      <c r="T187" t="s">
        <v>180</v>
      </c>
    </row>
    <row r="188" spans="1:20">
      <c r="A188">
        <v>346</v>
      </c>
      <c r="B188" t="s">
        <v>30</v>
      </c>
      <c r="C188" t="s">
        <v>15</v>
      </c>
      <c r="D188">
        <v>6</v>
      </c>
      <c r="E188">
        <v>94</v>
      </c>
      <c r="F188">
        <v>91</v>
      </c>
      <c r="G188">
        <v>90</v>
      </c>
      <c r="H188">
        <v>92</v>
      </c>
      <c r="I188" t="s">
        <v>16</v>
      </c>
      <c r="J188">
        <v>6</v>
      </c>
      <c r="K188">
        <v>2</v>
      </c>
      <c r="L188">
        <v>273</v>
      </c>
      <c r="M188">
        <v>91</v>
      </c>
      <c r="N188" t="s">
        <v>198</v>
      </c>
      <c r="O188">
        <v>15.166666666666666</v>
      </c>
      <c r="P188" t="s">
        <v>16</v>
      </c>
      <c r="Q188" t="s">
        <v>212</v>
      </c>
      <c r="R188" t="s">
        <v>213</v>
      </c>
      <c r="S188" t="s">
        <v>195</v>
      </c>
      <c r="T188" t="s">
        <v>180</v>
      </c>
    </row>
    <row r="189" spans="1:20">
      <c r="A189">
        <v>349</v>
      </c>
      <c r="B189" t="s">
        <v>144</v>
      </c>
      <c r="C189" t="s">
        <v>15</v>
      </c>
      <c r="D189">
        <v>5</v>
      </c>
      <c r="E189">
        <v>90</v>
      </c>
      <c r="F189">
        <v>86</v>
      </c>
      <c r="G189">
        <v>88</v>
      </c>
      <c r="H189">
        <v>89</v>
      </c>
      <c r="I189" t="s">
        <v>13</v>
      </c>
      <c r="J189">
        <v>6</v>
      </c>
      <c r="K189">
        <v>2</v>
      </c>
      <c r="L189">
        <v>263</v>
      </c>
      <c r="M189">
        <v>87.666666666666671</v>
      </c>
      <c r="N189" t="s">
        <v>198</v>
      </c>
      <c r="O189">
        <v>17.533333333333335</v>
      </c>
      <c r="P189" t="s">
        <v>16</v>
      </c>
      <c r="Q189" t="s">
        <v>212</v>
      </c>
      <c r="R189" t="s">
        <v>213</v>
      </c>
      <c r="S189" t="s">
        <v>195</v>
      </c>
      <c r="T189" t="s">
        <v>180</v>
      </c>
    </row>
    <row r="190" spans="1:20">
      <c r="A190">
        <v>351</v>
      </c>
      <c r="B190" t="s">
        <v>40</v>
      </c>
      <c r="C190" t="s">
        <v>15</v>
      </c>
      <c r="D190">
        <v>4</v>
      </c>
      <c r="E190">
        <v>87</v>
      </c>
      <c r="F190">
        <v>83</v>
      </c>
      <c r="G190">
        <v>81</v>
      </c>
      <c r="H190">
        <v>85</v>
      </c>
      <c r="I190" t="s">
        <v>13</v>
      </c>
      <c r="J190">
        <v>6</v>
      </c>
      <c r="K190">
        <v>3</v>
      </c>
      <c r="L190">
        <v>249</v>
      </c>
      <c r="M190">
        <v>83</v>
      </c>
      <c r="N190" t="s">
        <v>198</v>
      </c>
      <c r="O190">
        <v>20.75</v>
      </c>
      <c r="P190" t="s">
        <v>16</v>
      </c>
      <c r="Q190" t="s">
        <v>212</v>
      </c>
      <c r="R190" t="s">
        <v>213</v>
      </c>
      <c r="S190" t="s">
        <v>195</v>
      </c>
      <c r="T190" t="s">
        <v>180</v>
      </c>
    </row>
    <row r="191" spans="1:20">
      <c r="A191">
        <v>353</v>
      </c>
      <c r="B191" t="s">
        <v>55</v>
      </c>
      <c r="C191" t="s">
        <v>12</v>
      </c>
      <c r="D191">
        <v>5</v>
      </c>
      <c r="E191">
        <v>92</v>
      </c>
      <c r="F191">
        <v>88</v>
      </c>
      <c r="G191">
        <v>90</v>
      </c>
      <c r="H191">
        <v>91</v>
      </c>
      <c r="I191" t="s">
        <v>13</v>
      </c>
      <c r="J191">
        <v>6</v>
      </c>
      <c r="K191">
        <v>2</v>
      </c>
      <c r="L191">
        <v>269</v>
      </c>
      <c r="M191">
        <v>89.666666666666671</v>
      </c>
      <c r="N191" t="s">
        <v>198</v>
      </c>
      <c r="O191">
        <v>17.933333333333334</v>
      </c>
      <c r="P191" t="s">
        <v>16</v>
      </c>
      <c r="Q191" t="s">
        <v>212</v>
      </c>
      <c r="R191" t="s">
        <v>213</v>
      </c>
      <c r="S191" t="s">
        <v>195</v>
      </c>
      <c r="T191" t="s">
        <v>180</v>
      </c>
    </row>
    <row r="192" spans="1:20">
      <c r="A192">
        <v>355</v>
      </c>
      <c r="B192" t="s">
        <v>60</v>
      </c>
      <c r="C192" t="s">
        <v>15</v>
      </c>
      <c r="D192">
        <v>4</v>
      </c>
      <c r="E192">
        <v>85</v>
      </c>
      <c r="F192">
        <v>80</v>
      </c>
      <c r="G192">
        <v>82</v>
      </c>
      <c r="H192">
        <v>84</v>
      </c>
      <c r="I192" t="s">
        <v>13</v>
      </c>
      <c r="J192">
        <v>7</v>
      </c>
      <c r="K192">
        <v>3</v>
      </c>
      <c r="L192">
        <v>246</v>
      </c>
      <c r="M192">
        <v>82</v>
      </c>
      <c r="N192" t="s">
        <v>198</v>
      </c>
      <c r="O192">
        <v>20.5</v>
      </c>
      <c r="P192" t="s">
        <v>16</v>
      </c>
      <c r="Q192" t="s">
        <v>212</v>
      </c>
      <c r="R192" t="s">
        <v>213</v>
      </c>
      <c r="S192" t="s">
        <v>195</v>
      </c>
      <c r="T192" t="s">
        <v>180</v>
      </c>
    </row>
    <row r="193" spans="1:20">
      <c r="A193">
        <v>356</v>
      </c>
      <c r="B193" t="s">
        <v>51</v>
      </c>
      <c r="C193" t="s">
        <v>12</v>
      </c>
      <c r="D193">
        <v>6</v>
      </c>
      <c r="E193">
        <v>94</v>
      </c>
      <c r="F193">
        <v>91</v>
      </c>
      <c r="G193">
        <v>90</v>
      </c>
      <c r="H193">
        <v>92</v>
      </c>
      <c r="I193" t="s">
        <v>16</v>
      </c>
      <c r="J193">
        <v>6</v>
      </c>
      <c r="K193">
        <v>2</v>
      </c>
      <c r="L193">
        <v>273</v>
      </c>
      <c r="M193">
        <v>91</v>
      </c>
      <c r="N193" t="s">
        <v>198</v>
      </c>
      <c r="O193">
        <v>15.166666666666666</v>
      </c>
      <c r="P193" t="s">
        <v>16</v>
      </c>
      <c r="Q193" t="s">
        <v>212</v>
      </c>
      <c r="R193" t="s">
        <v>213</v>
      </c>
      <c r="S193" t="s">
        <v>195</v>
      </c>
      <c r="T193" t="s">
        <v>180</v>
      </c>
    </row>
    <row r="194" spans="1:20">
      <c r="A194">
        <v>359</v>
      </c>
      <c r="B194" t="s">
        <v>14</v>
      </c>
      <c r="C194" t="s">
        <v>15</v>
      </c>
      <c r="D194">
        <v>5</v>
      </c>
      <c r="E194">
        <v>90</v>
      </c>
      <c r="F194">
        <v>86</v>
      </c>
      <c r="G194">
        <v>88</v>
      </c>
      <c r="H194">
        <v>89</v>
      </c>
      <c r="I194" t="s">
        <v>13</v>
      </c>
      <c r="J194">
        <v>6</v>
      </c>
      <c r="K194">
        <v>2</v>
      </c>
      <c r="L194">
        <v>263</v>
      </c>
      <c r="M194">
        <v>87.666666666666671</v>
      </c>
      <c r="N194" t="s">
        <v>198</v>
      </c>
      <c r="O194">
        <v>17.533333333333335</v>
      </c>
      <c r="P194" t="s">
        <v>16</v>
      </c>
      <c r="Q194" t="s">
        <v>212</v>
      </c>
      <c r="R194" t="s">
        <v>213</v>
      </c>
      <c r="S194" t="s">
        <v>195</v>
      </c>
      <c r="T194" t="s">
        <v>180</v>
      </c>
    </row>
    <row r="195" spans="1:20">
      <c r="A195">
        <v>362</v>
      </c>
      <c r="B195" t="s">
        <v>52</v>
      </c>
      <c r="C195" t="s">
        <v>15</v>
      </c>
      <c r="D195">
        <v>4</v>
      </c>
      <c r="E195">
        <v>85</v>
      </c>
      <c r="F195">
        <v>80</v>
      </c>
      <c r="G195">
        <v>82</v>
      </c>
      <c r="H195">
        <v>84</v>
      </c>
      <c r="I195" t="s">
        <v>13</v>
      </c>
      <c r="J195">
        <v>7</v>
      </c>
      <c r="K195">
        <v>3</v>
      </c>
      <c r="L195">
        <v>246</v>
      </c>
      <c r="M195">
        <v>82</v>
      </c>
      <c r="N195" t="s">
        <v>198</v>
      </c>
      <c r="O195">
        <v>20.5</v>
      </c>
      <c r="P195" t="s">
        <v>16</v>
      </c>
      <c r="Q195" t="s">
        <v>212</v>
      </c>
      <c r="R195" t="s">
        <v>213</v>
      </c>
      <c r="S195" t="s">
        <v>195</v>
      </c>
      <c r="T195" t="s">
        <v>180</v>
      </c>
    </row>
    <row r="196" spans="1:20">
      <c r="A196">
        <v>363</v>
      </c>
      <c r="B196" t="s">
        <v>68</v>
      </c>
      <c r="C196" t="s">
        <v>15</v>
      </c>
      <c r="D196">
        <v>4</v>
      </c>
      <c r="E196">
        <v>88</v>
      </c>
      <c r="F196">
        <v>82</v>
      </c>
      <c r="G196">
        <v>79</v>
      </c>
      <c r="H196">
        <v>85</v>
      </c>
      <c r="I196" t="s">
        <v>13</v>
      </c>
      <c r="J196">
        <v>7</v>
      </c>
      <c r="K196">
        <v>3</v>
      </c>
      <c r="L196">
        <v>246</v>
      </c>
      <c r="M196">
        <v>82</v>
      </c>
      <c r="N196" t="s">
        <v>198</v>
      </c>
      <c r="O196">
        <v>20.5</v>
      </c>
      <c r="P196" t="s">
        <v>16</v>
      </c>
      <c r="Q196" t="s">
        <v>212</v>
      </c>
      <c r="R196" t="s">
        <v>213</v>
      </c>
      <c r="S196" t="s">
        <v>195</v>
      </c>
      <c r="T196" t="s">
        <v>180</v>
      </c>
    </row>
    <row r="197" spans="1:20">
      <c r="A197">
        <v>365</v>
      </c>
      <c r="B197" t="s">
        <v>154</v>
      </c>
      <c r="C197" t="s">
        <v>15</v>
      </c>
      <c r="D197">
        <v>0</v>
      </c>
      <c r="E197">
        <v>85</v>
      </c>
      <c r="F197">
        <v>80</v>
      </c>
      <c r="G197">
        <v>82</v>
      </c>
      <c r="H197">
        <v>84</v>
      </c>
      <c r="I197" t="s">
        <v>13</v>
      </c>
      <c r="J197">
        <v>7</v>
      </c>
      <c r="K197">
        <v>3</v>
      </c>
      <c r="L197">
        <v>246</v>
      </c>
      <c r="M197">
        <v>82</v>
      </c>
      <c r="N197" t="s">
        <v>198</v>
      </c>
      <c r="O197">
        <v>0</v>
      </c>
      <c r="P197" t="s">
        <v>16</v>
      </c>
      <c r="Q197" t="s">
        <v>214</v>
      </c>
      <c r="R197" t="s">
        <v>213</v>
      </c>
      <c r="S197" t="s">
        <v>195</v>
      </c>
      <c r="T197" t="s">
        <v>180</v>
      </c>
    </row>
    <row r="198" spans="1:20">
      <c r="A198">
        <v>367</v>
      </c>
      <c r="B198" t="s">
        <v>28</v>
      </c>
      <c r="C198" t="s">
        <v>15</v>
      </c>
      <c r="D198">
        <v>5</v>
      </c>
      <c r="E198">
        <v>92</v>
      </c>
      <c r="F198">
        <v>88</v>
      </c>
      <c r="G198">
        <v>90</v>
      </c>
      <c r="H198">
        <v>91</v>
      </c>
      <c r="I198" t="s">
        <v>13</v>
      </c>
      <c r="J198">
        <v>6</v>
      </c>
      <c r="K198">
        <v>2</v>
      </c>
      <c r="L198">
        <v>269</v>
      </c>
      <c r="M198">
        <v>89.666666666666671</v>
      </c>
      <c r="N198" t="s">
        <v>198</v>
      </c>
      <c r="O198">
        <v>17.933333333333334</v>
      </c>
      <c r="P198" t="s">
        <v>16</v>
      </c>
      <c r="Q198" t="s">
        <v>212</v>
      </c>
      <c r="R198" t="s">
        <v>213</v>
      </c>
      <c r="S198" t="s">
        <v>195</v>
      </c>
      <c r="T198" t="s">
        <v>180</v>
      </c>
    </row>
    <row r="199" spans="1:20">
      <c r="A199">
        <v>369</v>
      </c>
      <c r="B199" t="s">
        <v>22</v>
      </c>
      <c r="C199" t="s">
        <v>15</v>
      </c>
      <c r="D199">
        <v>4</v>
      </c>
      <c r="E199">
        <v>87</v>
      </c>
      <c r="F199">
        <v>83</v>
      </c>
      <c r="G199">
        <v>81</v>
      </c>
      <c r="H199">
        <v>85</v>
      </c>
      <c r="I199" t="s">
        <v>13</v>
      </c>
      <c r="J199">
        <v>6</v>
      </c>
      <c r="K199">
        <v>3</v>
      </c>
      <c r="L199">
        <v>249</v>
      </c>
      <c r="M199">
        <v>83</v>
      </c>
      <c r="N199" t="s">
        <v>198</v>
      </c>
      <c r="O199">
        <v>20.75</v>
      </c>
      <c r="P199" t="s">
        <v>16</v>
      </c>
      <c r="Q199" t="s">
        <v>212</v>
      </c>
      <c r="R199" t="s">
        <v>213</v>
      </c>
      <c r="S199" t="s">
        <v>195</v>
      </c>
      <c r="T199" t="s">
        <v>180</v>
      </c>
    </row>
    <row r="200" spans="1:20">
      <c r="A200">
        <v>371</v>
      </c>
      <c r="B200" t="s">
        <v>34</v>
      </c>
      <c r="C200" t="s">
        <v>15</v>
      </c>
      <c r="D200">
        <v>5</v>
      </c>
      <c r="E200">
        <v>92</v>
      </c>
      <c r="F200">
        <v>88</v>
      </c>
      <c r="G200">
        <v>90</v>
      </c>
      <c r="H200">
        <v>91</v>
      </c>
      <c r="I200" t="s">
        <v>13</v>
      </c>
      <c r="J200">
        <v>6</v>
      </c>
      <c r="K200">
        <v>2</v>
      </c>
      <c r="L200">
        <v>269</v>
      </c>
      <c r="M200">
        <v>89.666666666666671</v>
      </c>
      <c r="N200" t="s">
        <v>198</v>
      </c>
      <c r="O200">
        <v>17.933333333333334</v>
      </c>
      <c r="P200" t="s">
        <v>16</v>
      </c>
      <c r="Q200" t="s">
        <v>212</v>
      </c>
      <c r="R200" t="s">
        <v>213</v>
      </c>
      <c r="S200" t="s">
        <v>195</v>
      </c>
      <c r="T200" t="s">
        <v>180</v>
      </c>
    </row>
    <row r="201" spans="1:20">
      <c r="A201">
        <v>373</v>
      </c>
      <c r="B201" t="s">
        <v>50</v>
      </c>
      <c r="C201" t="s">
        <v>15</v>
      </c>
      <c r="D201">
        <v>4</v>
      </c>
      <c r="E201">
        <v>85</v>
      </c>
      <c r="F201">
        <v>80</v>
      </c>
      <c r="G201">
        <v>82</v>
      </c>
      <c r="H201">
        <v>84</v>
      </c>
      <c r="I201" t="s">
        <v>13</v>
      </c>
      <c r="J201">
        <v>7</v>
      </c>
      <c r="K201">
        <v>3</v>
      </c>
      <c r="L201">
        <v>246</v>
      </c>
      <c r="M201">
        <v>82</v>
      </c>
      <c r="N201" t="s">
        <v>198</v>
      </c>
      <c r="O201">
        <v>20.5</v>
      </c>
      <c r="P201" t="s">
        <v>16</v>
      </c>
      <c r="Q201" t="s">
        <v>212</v>
      </c>
      <c r="R201" t="s">
        <v>213</v>
      </c>
      <c r="S201" t="s">
        <v>195</v>
      </c>
      <c r="T201" t="s">
        <v>180</v>
      </c>
    </row>
    <row r="202" spans="1:20">
      <c r="A202">
        <v>374</v>
      </c>
      <c r="B202" t="s">
        <v>111</v>
      </c>
      <c r="C202" t="s">
        <v>12</v>
      </c>
      <c r="D202">
        <v>6</v>
      </c>
      <c r="E202">
        <v>94</v>
      </c>
      <c r="F202">
        <v>91</v>
      </c>
      <c r="G202">
        <v>90</v>
      </c>
      <c r="H202">
        <v>92</v>
      </c>
      <c r="I202" t="s">
        <v>16</v>
      </c>
      <c r="J202">
        <v>6</v>
      </c>
      <c r="K202">
        <v>2</v>
      </c>
      <c r="L202">
        <v>273</v>
      </c>
      <c r="M202">
        <v>91</v>
      </c>
      <c r="N202" t="s">
        <v>198</v>
      </c>
      <c r="O202">
        <v>15.166666666666666</v>
      </c>
      <c r="P202" t="s">
        <v>16</v>
      </c>
      <c r="Q202" t="s">
        <v>212</v>
      </c>
      <c r="R202" t="s">
        <v>213</v>
      </c>
      <c r="S202" t="s">
        <v>195</v>
      </c>
      <c r="T202" t="s">
        <v>180</v>
      </c>
    </row>
    <row r="203" spans="1:20">
      <c r="A203">
        <v>377</v>
      </c>
      <c r="B203" t="s">
        <v>56</v>
      </c>
      <c r="C203" t="s">
        <v>15</v>
      </c>
      <c r="D203">
        <v>5</v>
      </c>
      <c r="E203">
        <v>90</v>
      </c>
      <c r="F203">
        <v>86</v>
      </c>
      <c r="G203">
        <v>88</v>
      </c>
      <c r="H203">
        <v>89</v>
      </c>
      <c r="I203" t="s">
        <v>13</v>
      </c>
      <c r="J203">
        <v>6</v>
      </c>
      <c r="K203">
        <v>2</v>
      </c>
      <c r="L203">
        <v>263</v>
      </c>
      <c r="M203">
        <v>87.666666666666671</v>
      </c>
      <c r="N203" t="s">
        <v>198</v>
      </c>
      <c r="O203">
        <v>17.533333333333335</v>
      </c>
      <c r="P203" t="s">
        <v>16</v>
      </c>
      <c r="Q203" t="s">
        <v>212</v>
      </c>
      <c r="R203" t="s">
        <v>213</v>
      </c>
      <c r="S203" t="s">
        <v>195</v>
      </c>
      <c r="T203" t="s">
        <v>180</v>
      </c>
    </row>
    <row r="204" spans="1:20">
      <c r="A204">
        <v>379</v>
      </c>
      <c r="B204" t="s">
        <v>32</v>
      </c>
      <c r="C204" t="s">
        <v>15</v>
      </c>
      <c r="D204">
        <v>4</v>
      </c>
      <c r="E204">
        <v>87</v>
      </c>
      <c r="F204">
        <v>83</v>
      </c>
      <c r="G204">
        <v>81</v>
      </c>
      <c r="H204">
        <v>85</v>
      </c>
      <c r="I204" t="s">
        <v>13</v>
      </c>
      <c r="J204">
        <v>6</v>
      </c>
      <c r="K204">
        <v>3</v>
      </c>
      <c r="L204">
        <v>249</v>
      </c>
      <c r="M204">
        <v>83</v>
      </c>
      <c r="N204" t="s">
        <v>198</v>
      </c>
      <c r="O204">
        <v>20.75</v>
      </c>
      <c r="P204" t="s">
        <v>16</v>
      </c>
      <c r="Q204" t="s">
        <v>212</v>
      </c>
      <c r="R204" t="s">
        <v>213</v>
      </c>
      <c r="S204" t="s">
        <v>195</v>
      </c>
      <c r="T204" t="s">
        <v>180</v>
      </c>
    </row>
    <row r="205" spans="1:20">
      <c r="A205">
        <v>381</v>
      </c>
      <c r="B205" t="s">
        <v>64</v>
      </c>
      <c r="C205" t="s">
        <v>15</v>
      </c>
      <c r="D205">
        <v>5</v>
      </c>
      <c r="E205">
        <v>92</v>
      </c>
      <c r="F205">
        <v>88</v>
      </c>
      <c r="G205">
        <v>90</v>
      </c>
      <c r="H205">
        <v>91</v>
      </c>
      <c r="I205" t="s">
        <v>13</v>
      </c>
      <c r="J205">
        <v>6</v>
      </c>
      <c r="K205">
        <v>2</v>
      </c>
      <c r="L205">
        <v>269</v>
      </c>
      <c r="M205">
        <v>89.666666666666671</v>
      </c>
      <c r="N205" t="s">
        <v>198</v>
      </c>
      <c r="O205">
        <v>17.933333333333334</v>
      </c>
      <c r="P205" t="s">
        <v>16</v>
      </c>
      <c r="Q205" t="s">
        <v>212</v>
      </c>
      <c r="R205" t="s">
        <v>213</v>
      </c>
      <c r="S205" t="s">
        <v>195</v>
      </c>
      <c r="T205" t="s">
        <v>180</v>
      </c>
    </row>
    <row r="206" spans="1:20">
      <c r="A206">
        <v>383</v>
      </c>
      <c r="B206" t="s">
        <v>38</v>
      </c>
      <c r="C206" t="s">
        <v>15</v>
      </c>
      <c r="D206">
        <v>4</v>
      </c>
      <c r="E206">
        <v>85</v>
      </c>
      <c r="F206">
        <v>80</v>
      </c>
      <c r="G206">
        <v>82</v>
      </c>
      <c r="H206">
        <v>84</v>
      </c>
      <c r="I206" t="s">
        <v>13</v>
      </c>
      <c r="J206">
        <v>7</v>
      </c>
      <c r="K206">
        <v>3</v>
      </c>
      <c r="L206">
        <v>246</v>
      </c>
      <c r="M206">
        <v>82</v>
      </c>
      <c r="N206" t="s">
        <v>198</v>
      </c>
      <c r="O206">
        <v>20.5</v>
      </c>
      <c r="P206" t="s">
        <v>16</v>
      </c>
      <c r="Q206" t="s">
        <v>212</v>
      </c>
      <c r="R206" t="s">
        <v>213</v>
      </c>
      <c r="S206" t="s">
        <v>195</v>
      </c>
      <c r="T206" t="s">
        <v>180</v>
      </c>
    </row>
    <row r="207" spans="1:20">
      <c r="A207">
        <v>384</v>
      </c>
      <c r="B207" t="s">
        <v>164</v>
      </c>
      <c r="C207" t="s">
        <v>12</v>
      </c>
      <c r="D207">
        <v>6</v>
      </c>
      <c r="E207">
        <v>94</v>
      </c>
      <c r="F207">
        <v>91</v>
      </c>
      <c r="G207">
        <v>90</v>
      </c>
      <c r="H207">
        <v>92</v>
      </c>
      <c r="I207" t="s">
        <v>16</v>
      </c>
      <c r="J207">
        <v>6</v>
      </c>
      <c r="K207">
        <v>2</v>
      </c>
      <c r="L207">
        <v>273</v>
      </c>
      <c r="M207">
        <v>91</v>
      </c>
      <c r="N207" t="s">
        <v>198</v>
      </c>
      <c r="O207">
        <v>15.166666666666666</v>
      </c>
      <c r="P207" t="s">
        <v>16</v>
      </c>
      <c r="Q207" t="s">
        <v>212</v>
      </c>
      <c r="R207" t="s">
        <v>213</v>
      </c>
      <c r="S207" t="s">
        <v>195</v>
      </c>
      <c r="T207" t="s">
        <v>180</v>
      </c>
    </row>
    <row r="208" spans="1:20">
      <c r="A208">
        <v>387</v>
      </c>
      <c r="B208" t="s">
        <v>58</v>
      </c>
      <c r="C208" t="s">
        <v>15</v>
      </c>
      <c r="D208">
        <v>5</v>
      </c>
      <c r="E208">
        <v>90</v>
      </c>
      <c r="F208">
        <v>86</v>
      </c>
      <c r="G208">
        <v>88</v>
      </c>
      <c r="H208">
        <v>89</v>
      </c>
      <c r="I208" t="s">
        <v>13</v>
      </c>
      <c r="J208">
        <v>6</v>
      </c>
      <c r="K208">
        <v>2</v>
      </c>
      <c r="L208">
        <v>263</v>
      </c>
      <c r="M208">
        <v>87.666666666666671</v>
      </c>
      <c r="N208" t="s">
        <v>198</v>
      </c>
      <c r="O208">
        <v>17.533333333333335</v>
      </c>
      <c r="P208" t="s">
        <v>16</v>
      </c>
      <c r="Q208" t="s">
        <v>212</v>
      </c>
      <c r="R208" t="s">
        <v>213</v>
      </c>
      <c r="S208" t="s">
        <v>195</v>
      </c>
      <c r="T208" t="s">
        <v>180</v>
      </c>
    </row>
    <row r="209" spans="1:20">
      <c r="A209">
        <v>389</v>
      </c>
      <c r="B209" t="s">
        <v>155</v>
      </c>
      <c r="C209" t="s">
        <v>15</v>
      </c>
      <c r="D209">
        <v>4</v>
      </c>
      <c r="E209">
        <v>87</v>
      </c>
      <c r="F209">
        <v>83</v>
      </c>
      <c r="G209">
        <v>81</v>
      </c>
      <c r="H209">
        <v>85</v>
      </c>
      <c r="I209" t="s">
        <v>13</v>
      </c>
      <c r="J209">
        <v>6</v>
      </c>
      <c r="K209">
        <v>3</v>
      </c>
      <c r="L209">
        <v>249</v>
      </c>
      <c r="M209">
        <v>83</v>
      </c>
      <c r="N209" t="s">
        <v>198</v>
      </c>
      <c r="O209">
        <v>20.75</v>
      </c>
      <c r="P209" t="s">
        <v>16</v>
      </c>
      <c r="Q209" t="s">
        <v>212</v>
      </c>
      <c r="R209" t="s">
        <v>213</v>
      </c>
      <c r="S209" t="s">
        <v>195</v>
      </c>
      <c r="T209" t="s">
        <v>180</v>
      </c>
    </row>
    <row r="210" spans="1:20">
      <c r="A210">
        <v>391</v>
      </c>
      <c r="B210" t="s">
        <v>40</v>
      </c>
      <c r="C210" t="s">
        <v>15</v>
      </c>
      <c r="D210">
        <v>5</v>
      </c>
      <c r="E210">
        <v>92</v>
      </c>
      <c r="F210">
        <v>88</v>
      </c>
      <c r="G210">
        <v>90</v>
      </c>
      <c r="H210">
        <v>91</v>
      </c>
      <c r="I210" t="s">
        <v>13</v>
      </c>
      <c r="J210">
        <v>6</v>
      </c>
      <c r="K210">
        <v>2</v>
      </c>
      <c r="L210">
        <v>269</v>
      </c>
      <c r="M210">
        <v>89.666666666666671</v>
      </c>
      <c r="N210" t="s">
        <v>198</v>
      </c>
      <c r="O210">
        <v>17.933333333333334</v>
      </c>
      <c r="P210" t="s">
        <v>16</v>
      </c>
      <c r="Q210" t="s">
        <v>212</v>
      </c>
      <c r="R210" t="s">
        <v>213</v>
      </c>
      <c r="S210" t="s">
        <v>195</v>
      </c>
      <c r="T210" t="s">
        <v>180</v>
      </c>
    </row>
    <row r="211" spans="1:20">
      <c r="A211">
        <v>393</v>
      </c>
      <c r="B211" t="s">
        <v>72</v>
      </c>
      <c r="C211" t="s">
        <v>12</v>
      </c>
      <c r="D211">
        <v>4</v>
      </c>
      <c r="E211">
        <v>85</v>
      </c>
      <c r="F211">
        <v>80</v>
      </c>
      <c r="G211">
        <v>82</v>
      </c>
      <c r="H211">
        <v>84</v>
      </c>
      <c r="I211" t="s">
        <v>13</v>
      </c>
      <c r="J211">
        <v>7</v>
      </c>
      <c r="K211">
        <v>3</v>
      </c>
      <c r="L211">
        <v>246</v>
      </c>
      <c r="M211">
        <v>82</v>
      </c>
      <c r="N211" t="s">
        <v>198</v>
      </c>
      <c r="O211">
        <v>20.5</v>
      </c>
      <c r="P211" t="s">
        <v>16</v>
      </c>
      <c r="Q211" t="s">
        <v>212</v>
      </c>
      <c r="R211" t="s">
        <v>213</v>
      </c>
      <c r="S211" t="s">
        <v>195</v>
      </c>
      <c r="T211" t="s">
        <v>180</v>
      </c>
    </row>
    <row r="212" spans="1:20">
      <c r="A212">
        <v>394</v>
      </c>
      <c r="B212" t="s">
        <v>30</v>
      </c>
      <c r="C212" t="s">
        <v>15</v>
      </c>
      <c r="D212">
        <v>6</v>
      </c>
      <c r="E212">
        <v>94</v>
      </c>
      <c r="F212">
        <v>91</v>
      </c>
      <c r="G212">
        <v>90</v>
      </c>
      <c r="H212">
        <v>92</v>
      </c>
      <c r="I212" t="s">
        <v>16</v>
      </c>
      <c r="J212">
        <v>6</v>
      </c>
      <c r="K212">
        <v>2</v>
      </c>
      <c r="L212">
        <v>273</v>
      </c>
      <c r="M212">
        <v>91</v>
      </c>
      <c r="N212" t="s">
        <v>198</v>
      </c>
      <c r="O212">
        <v>15.166666666666666</v>
      </c>
      <c r="P212" t="s">
        <v>16</v>
      </c>
      <c r="Q212" t="s">
        <v>212</v>
      </c>
      <c r="R212" t="s">
        <v>213</v>
      </c>
      <c r="S212" t="s">
        <v>195</v>
      </c>
      <c r="T212" t="s">
        <v>180</v>
      </c>
    </row>
    <row r="213" spans="1:20">
      <c r="A213">
        <v>396</v>
      </c>
      <c r="B213" t="s">
        <v>144</v>
      </c>
      <c r="C213" t="s">
        <v>15</v>
      </c>
      <c r="D213">
        <v>5</v>
      </c>
      <c r="E213">
        <v>90</v>
      </c>
      <c r="F213">
        <v>86</v>
      </c>
      <c r="G213">
        <v>88</v>
      </c>
      <c r="H213">
        <v>89</v>
      </c>
      <c r="I213" t="s">
        <v>13</v>
      </c>
      <c r="J213">
        <v>6</v>
      </c>
      <c r="K213">
        <v>2</v>
      </c>
      <c r="L213">
        <v>263</v>
      </c>
      <c r="M213">
        <v>87.666666666666671</v>
      </c>
      <c r="N213" t="s">
        <v>198</v>
      </c>
      <c r="O213">
        <v>17.533333333333335</v>
      </c>
      <c r="P213" t="s">
        <v>16</v>
      </c>
      <c r="Q213" t="s">
        <v>212</v>
      </c>
      <c r="R213" t="s">
        <v>213</v>
      </c>
      <c r="S213" t="s">
        <v>195</v>
      </c>
      <c r="T213" t="s">
        <v>180</v>
      </c>
    </row>
    <row r="214" spans="1:20">
      <c r="A214">
        <v>398</v>
      </c>
      <c r="B214" t="s">
        <v>40</v>
      </c>
      <c r="C214" t="s">
        <v>15</v>
      </c>
      <c r="D214">
        <v>4</v>
      </c>
      <c r="E214">
        <v>87</v>
      </c>
      <c r="F214">
        <v>83</v>
      </c>
      <c r="G214">
        <v>81</v>
      </c>
      <c r="H214">
        <v>85</v>
      </c>
      <c r="I214" t="s">
        <v>13</v>
      </c>
      <c r="J214">
        <v>6</v>
      </c>
      <c r="K214">
        <v>3</v>
      </c>
      <c r="L214">
        <v>249</v>
      </c>
      <c r="M214">
        <v>83</v>
      </c>
      <c r="N214" t="s">
        <v>198</v>
      </c>
      <c r="O214">
        <v>20.75</v>
      </c>
      <c r="P214" t="s">
        <v>16</v>
      </c>
      <c r="Q214" t="s">
        <v>212</v>
      </c>
      <c r="R214" t="s">
        <v>213</v>
      </c>
      <c r="S214" t="s">
        <v>195</v>
      </c>
      <c r="T214" t="s">
        <v>180</v>
      </c>
    </row>
    <row r="215" spans="1:20">
      <c r="A215">
        <v>400</v>
      </c>
      <c r="B215" t="s">
        <v>55</v>
      </c>
      <c r="C215" t="s">
        <v>12</v>
      </c>
      <c r="D215">
        <v>5</v>
      </c>
      <c r="E215">
        <v>92</v>
      </c>
      <c r="F215">
        <v>88</v>
      </c>
      <c r="G215">
        <v>90</v>
      </c>
      <c r="H215">
        <v>91</v>
      </c>
      <c r="I215" t="s">
        <v>13</v>
      </c>
      <c r="J215">
        <v>6</v>
      </c>
      <c r="K215">
        <v>2</v>
      </c>
      <c r="L215">
        <v>269</v>
      </c>
      <c r="M215">
        <v>89.666666666666671</v>
      </c>
      <c r="N215" t="s">
        <v>198</v>
      </c>
      <c r="O215">
        <v>17.933333333333334</v>
      </c>
      <c r="P215" t="s">
        <v>16</v>
      </c>
      <c r="Q215" t="s">
        <v>212</v>
      </c>
      <c r="R215" t="s">
        <v>213</v>
      </c>
      <c r="S215" t="s">
        <v>195</v>
      </c>
      <c r="T215" t="s">
        <v>180</v>
      </c>
    </row>
    <row r="216" spans="1:20">
      <c r="A216">
        <v>402</v>
      </c>
      <c r="B216" t="s">
        <v>158</v>
      </c>
      <c r="C216" t="s">
        <v>15</v>
      </c>
      <c r="D216">
        <v>5</v>
      </c>
      <c r="E216">
        <v>90</v>
      </c>
      <c r="F216">
        <v>86</v>
      </c>
      <c r="G216">
        <v>88</v>
      </c>
      <c r="H216">
        <v>89</v>
      </c>
      <c r="I216" t="s">
        <v>13</v>
      </c>
      <c r="J216">
        <v>6</v>
      </c>
      <c r="K216">
        <v>2</v>
      </c>
      <c r="L216">
        <v>263</v>
      </c>
      <c r="M216">
        <v>87.666666666666671</v>
      </c>
      <c r="N216" t="s">
        <v>198</v>
      </c>
      <c r="O216">
        <v>17.533333333333335</v>
      </c>
      <c r="P216" t="s">
        <v>16</v>
      </c>
      <c r="Q216" t="s">
        <v>212</v>
      </c>
      <c r="R216" t="s">
        <v>213</v>
      </c>
      <c r="S216" t="s">
        <v>195</v>
      </c>
      <c r="T216" t="s">
        <v>180</v>
      </c>
    </row>
    <row r="217" spans="1:20">
      <c r="A217">
        <v>403</v>
      </c>
      <c r="B217" t="s">
        <v>63</v>
      </c>
      <c r="C217" t="s">
        <v>12</v>
      </c>
      <c r="D217">
        <v>0</v>
      </c>
      <c r="E217">
        <v>85</v>
      </c>
      <c r="F217">
        <v>80</v>
      </c>
      <c r="G217">
        <v>82</v>
      </c>
      <c r="H217">
        <v>84</v>
      </c>
      <c r="I217" t="s">
        <v>13</v>
      </c>
      <c r="J217">
        <v>7</v>
      </c>
      <c r="K217">
        <v>3</v>
      </c>
      <c r="L217">
        <v>246</v>
      </c>
      <c r="M217">
        <v>82</v>
      </c>
      <c r="N217" t="s">
        <v>198</v>
      </c>
      <c r="O217">
        <v>0</v>
      </c>
      <c r="P217" t="s">
        <v>16</v>
      </c>
      <c r="Q217" t="s">
        <v>214</v>
      </c>
      <c r="R217" t="s">
        <v>213</v>
      </c>
      <c r="S217" t="s">
        <v>195</v>
      </c>
      <c r="T217" t="s">
        <v>180</v>
      </c>
    </row>
    <row r="218" spans="1:20">
      <c r="A218">
        <v>405</v>
      </c>
      <c r="B218" t="s">
        <v>40</v>
      </c>
      <c r="C218" t="s">
        <v>15</v>
      </c>
      <c r="D218">
        <v>5</v>
      </c>
      <c r="E218">
        <v>92</v>
      </c>
      <c r="F218">
        <v>88</v>
      </c>
      <c r="G218">
        <v>90</v>
      </c>
      <c r="H218">
        <v>91</v>
      </c>
      <c r="I218" t="s">
        <v>13</v>
      </c>
      <c r="J218">
        <v>0</v>
      </c>
      <c r="K218">
        <v>2</v>
      </c>
      <c r="L218">
        <v>269</v>
      </c>
      <c r="M218">
        <v>89.666666666666671</v>
      </c>
      <c r="N218" t="s">
        <v>198</v>
      </c>
      <c r="O218">
        <v>17.933333333333334</v>
      </c>
      <c r="P218" t="s">
        <v>16</v>
      </c>
      <c r="Q218" t="s">
        <v>212</v>
      </c>
      <c r="R218" t="s">
        <v>215</v>
      </c>
      <c r="S218" t="s">
        <v>195</v>
      </c>
      <c r="T218" t="s">
        <v>180</v>
      </c>
    </row>
    <row r="219" spans="1:20">
      <c r="A219">
        <v>407</v>
      </c>
      <c r="B219" t="s">
        <v>50</v>
      </c>
      <c r="C219" t="s">
        <v>15</v>
      </c>
      <c r="D219">
        <v>4</v>
      </c>
      <c r="E219">
        <v>87</v>
      </c>
      <c r="F219">
        <v>83</v>
      </c>
      <c r="G219">
        <v>81</v>
      </c>
      <c r="H219">
        <v>85</v>
      </c>
      <c r="I219" t="s">
        <v>13</v>
      </c>
      <c r="J219">
        <v>6</v>
      </c>
      <c r="K219">
        <v>3</v>
      </c>
      <c r="L219">
        <v>249</v>
      </c>
      <c r="M219">
        <v>83</v>
      </c>
      <c r="N219" t="s">
        <v>198</v>
      </c>
      <c r="O219">
        <v>20.75</v>
      </c>
      <c r="P219" t="s">
        <v>16</v>
      </c>
      <c r="Q219" t="s">
        <v>212</v>
      </c>
      <c r="R219" t="s">
        <v>213</v>
      </c>
      <c r="S219" t="s">
        <v>195</v>
      </c>
      <c r="T219" t="s">
        <v>180</v>
      </c>
    </row>
    <row r="220" spans="1:20">
      <c r="A220">
        <v>409</v>
      </c>
      <c r="B220" t="s">
        <v>154</v>
      </c>
      <c r="C220" t="s">
        <v>15</v>
      </c>
      <c r="D220">
        <v>5</v>
      </c>
      <c r="E220">
        <v>91</v>
      </c>
      <c r="F220">
        <v>87</v>
      </c>
      <c r="G220">
        <v>88</v>
      </c>
      <c r="H220">
        <v>90</v>
      </c>
      <c r="I220" t="s">
        <v>13</v>
      </c>
      <c r="J220">
        <v>6</v>
      </c>
      <c r="K220">
        <v>2</v>
      </c>
      <c r="L220">
        <v>265</v>
      </c>
      <c r="M220">
        <v>88.333333333333329</v>
      </c>
      <c r="N220" t="s">
        <v>198</v>
      </c>
      <c r="O220">
        <v>17.666666666666664</v>
      </c>
      <c r="P220" t="s">
        <v>16</v>
      </c>
      <c r="Q220" t="s">
        <v>212</v>
      </c>
      <c r="R220" t="s">
        <v>213</v>
      </c>
      <c r="S220" t="s">
        <v>195</v>
      </c>
      <c r="T220" t="s">
        <v>180</v>
      </c>
    </row>
    <row r="221" spans="1:20">
      <c r="A221">
        <v>410</v>
      </c>
      <c r="B221" t="s">
        <v>156</v>
      </c>
      <c r="C221" t="s">
        <v>12</v>
      </c>
      <c r="D221">
        <v>6</v>
      </c>
      <c r="E221">
        <v>94</v>
      </c>
      <c r="F221">
        <v>91</v>
      </c>
      <c r="G221">
        <v>90</v>
      </c>
      <c r="H221">
        <v>92</v>
      </c>
      <c r="I221" t="s">
        <v>16</v>
      </c>
      <c r="J221">
        <v>6</v>
      </c>
      <c r="K221">
        <v>2</v>
      </c>
      <c r="L221">
        <v>273</v>
      </c>
      <c r="M221">
        <v>91</v>
      </c>
      <c r="N221" t="s">
        <v>198</v>
      </c>
      <c r="O221">
        <v>15.166666666666666</v>
      </c>
      <c r="P221" t="s">
        <v>16</v>
      </c>
      <c r="Q221" t="s">
        <v>212</v>
      </c>
      <c r="R221" t="s">
        <v>213</v>
      </c>
      <c r="S221" t="s">
        <v>195</v>
      </c>
      <c r="T221" t="s">
        <v>180</v>
      </c>
    </row>
    <row r="222" spans="1:20">
      <c r="A222">
        <v>412</v>
      </c>
      <c r="B222" t="s">
        <v>28</v>
      </c>
      <c r="C222" t="s">
        <v>15</v>
      </c>
      <c r="D222">
        <v>4</v>
      </c>
      <c r="E222">
        <v>85</v>
      </c>
      <c r="F222">
        <v>80</v>
      </c>
      <c r="G222">
        <v>82</v>
      </c>
      <c r="H222">
        <v>84</v>
      </c>
      <c r="I222" t="s">
        <v>13</v>
      </c>
      <c r="J222">
        <v>7</v>
      </c>
      <c r="K222">
        <v>3</v>
      </c>
      <c r="L222">
        <v>246</v>
      </c>
      <c r="M222">
        <v>82</v>
      </c>
      <c r="N222" t="s">
        <v>198</v>
      </c>
      <c r="O222">
        <v>20.5</v>
      </c>
      <c r="P222" t="s">
        <v>16</v>
      </c>
      <c r="Q222" t="s">
        <v>212</v>
      </c>
      <c r="R222" t="s">
        <v>213</v>
      </c>
      <c r="S222" t="s">
        <v>195</v>
      </c>
      <c r="T222" t="s">
        <v>180</v>
      </c>
    </row>
    <row r="223" spans="1:20">
      <c r="A223">
        <v>414</v>
      </c>
      <c r="B223" t="s">
        <v>56</v>
      </c>
      <c r="C223" t="s">
        <v>15</v>
      </c>
      <c r="D223">
        <v>5</v>
      </c>
      <c r="E223">
        <v>92</v>
      </c>
      <c r="F223">
        <v>88</v>
      </c>
      <c r="G223">
        <v>90</v>
      </c>
      <c r="H223">
        <v>91</v>
      </c>
      <c r="I223" t="s">
        <v>13</v>
      </c>
      <c r="J223">
        <v>6</v>
      </c>
      <c r="K223">
        <v>2</v>
      </c>
      <c r="L223">
        <v>269</v>
      </c>
      <c r="M223">
        <v>89.666666666666671</v>
      </c>
      <c r="N223" t="s">
        <v>198</v>
      </c>
      <c r="O223">
        <v>17.933333333333334</v>
      </c>
      <c r="P223" t="s">
        <v>16</v>
      </c>
      <c r="Q223" t="s">
        <v>212</v>
      </c>
      <c r="R223" t="s">
        <v>213</v>
      </c>
      <c r="S223" t="s">
        <v>195</v>
      </c>
      <c r="T223" t="s">
        <v>180</v>
      </c>
    </row>
    <row r="224" spans="1:20">
      <c r="A224">
        <v>416</v>
      </c>
      <c r="B224" t="s">
        <v>117</v>
      </c>
      <c r="C224" t="s">
        <v>15</v>
      </c>
      <c r="D224">
        <v>4</v>
      </c>
      <c r="E224">
        <v>87</v>
      </c>
      <c r="F224">
        <v>83</v>
      </c>
      <c r="G224">
        <v>81</v>
      </c>
      <c r="H224">
        <v>85</v>
      </c>
      <c r="I224" t="s">
        <v>13</v>
      </c>
      <c r="J224">
        <v>6</v>
      </c>
      <c r="K224">
        <v>3</v>
      </c>
      <c r="L224">
        <v>249</v>
      </c>
      <c r="M224">
        <v>83</v>
      </c>
      <c r="N224" t="s">
        <v>198</v>
      </c>
      <c r="O224">
        <v>20.75</v>
      </c>
      <c r="P224" t="s">
        <v>16</v>
      </c>
      <c r="Q224" t="s">
        <v>212</v>
      </c>
      <c r="R224" t="s">
        <v>213</v>
      </c>
      <c r="S224" t="s">
        <v>195</v>
      </c>
      <c r="T224" t="s">
        <v>180</v>
      </c>
    </row>
    <row r="225" spans="1:20">
      <c r="A225">
        <v>418</v>
      </c>
      <c r="B225" t="s">
        <v>52</v>
      </c>
      <c r="C225" t="s">
        <v>15</v>
      </c>
      <c r="D225">
        <v>4</v>
      </c>
      <c r="E225">
        <v>85</v>
      </c>
      <c r="F225">
        <v>80</v>
      </c>
      <c r="G225">
        <v>82</v>
      </c>
      <c r="H225">
        <v>84</v>
      </c>
      <c r="I225" t="s">
        <v>13</v>
      </c>
      <c r="J225">
        <v>7</v>
      </c>
      <c r="K225">
        <v>3</v>
      </c>
      <c r="L225">
        <v>246</v>
      </c>
      <c r="M225">
        <v>82</v>
      </c>
      <c r="N225" t="s">
        <v>198</v>
      </c>
      <c r="O225">
        <v>20.5</v>
      </c>
      <c r="P225" t="s">
        <v>16</v>
      </c>
      <c r="Q225" t="s">
        <v>212</v>
      </c>
      <c r="R225" t="s">
        <v>213</v>
      </c>
      <c r="S225" t="s">
        <v>195</v>
      </c>
      <c r="T225" t="s">
        <v>180</v>
      </c>
    </row>
    <row r="226" spans="1:20">
      <c r="A226">
        <v>419</v>
      </c>
      <c r="B226" t="s">
        <v>47</v>
      </c>
      <c r="C226" t="s">
        <v>12</v>
      </c>
      <c r="D226">
        <v>6</v>
      </c>
      <c r="E226">
        <v>94</v>
      </c>
      <c r="F226">
        <v>91</v>
      </c>
      <c r="G226">
        <v>90</v>
      </c>
      <c r="H226">
        <v>92</v>
      </c>
      <c r="I226" t="s">
        <v>16</v>
      </c>
      <c r="J226">
        <v>6</v>
      </c>
      <c r="K226">
        <v>2</v>
      </c>
      <c r="L226">
        <v>273</v>
      </c>
      <c r="M226">
        <v>91</v>
      </c>
      <c r="N226" t="s">
        <v>198</v>
      </c>
      <c r="O226">
        <v>15.166666666666666</v>
      </c>
      <c r="P226" t="s">
        <v>16</v>
      </c>
      <c r="Q226" t="s">
        <v>212</v>
      </c>
      <c r="R226" t="s">
        <v>213</v>
      </c>
      <c r="S226" t="s">
        <v>195</v>
      </c>
      <c r="T226" t="s">
        <v>180</v>
      </c>
    </row>
    <row r="227" spans="1:20">
      <c r="A227">
        <v>422</v>
      </c>
      <c r="B227" t="s">
        <v>26</v>
      </c>
      <c r="C227" t="s">
        <v>15</v>
      </c>
      <c r="D227">
        <v>5</v>
      </c>
      <c r="E227">
        <v>90</v>
      </c>
      <c r="F227">
        <v>86</v>
      </c>
      <c r="G227">
        <v>88</v>
      </c>
      <c r="H227">
        <v>89</v>
      </c>
      <c r="I227" t="s">
        <v>13</v>
      </c>
      <c r="J227">
        <v>6</v>
      </c>
      <c r="K227">
        <v>2</v>
      </c>
      <c r="L227">
        <v>263</v>
      </c>
      <c r="M227">
        <v>87.666666666666671</v>
      </c>
      <c r="N227" t="s">
        <v>198</v>
      </c>
      <c r="O227">
        <v>17.533333333333335</v>
      </c>
      <c r="P227" t="s">
        <v>16</v>
      </c>
      <c r="Q227" t="s">
        <v>212</v>
      </c>
      <c r="R227" t="s">
        <v>213</v>
      </c>
      <c r="S227" t="s">
        <v>195</v>
      </c>
      <c r="T227" t="s">
        <v>180</v>
      </c>
    </row>
    <row r="228" spans="1:20">
      <c r="A228">
        <v>424</v>
      </c>
      <c r="B228" t="s">
        <v>64</v>
      </c>
      <c r="C228" t="s">
        <v>15</v>
      </c>
      <c r="D228">
        <v>4</v>
      </c>
      <c r="E228">
        <v>87</v>
      </c>
      <c r="F228">
        <v>83</v>
      </c>
      <c r="G228">
        <v>81</v>
      </c>
      <c r="H228">
        <v>85</v>
      </c>
      <c r="I228" t="s">
        <v>13</v>
      </c>
      <c r="J228">
        <v>6</v>
      </c>
      <c r="K228">
        <v>3</v>
      </c>
      <c r="L228">
        <v>249</v>
      </c>
      <c r="M228">
        <v>83</v>
      </c>
      <c r="N228" t="s">
        <v>198</v>
      </c>
      <c r="O228">
        <v>20.75</v>
      </c>
      <c r="P228" t="s">
        <v>16</v>
      </c>
      <c r="Q228" t="s">
        <v>212</v>
      </c>
      <c r="R228" t="s">
        <v>213</v>
      </c>
      <c r="S228" t="s">
        <v>195</v>
      </c>
      <c r="T228" t="s">
        <v>180</v>
      </c>
    </row>
    <row r="229" spans="1:20">
      <c r="A229">
        <v>426</v>
      </c>
      <c r="B229" t="s">
        <v>62</v>
      </c>
      <c r="C229" t="s">
        <v>15</v>
      </c>
      <c r="D229">
        <v>5</v>
      </c>
      <c r="E229">
        <v>92</v>
      </c>
      <c r="F229">
        <v>88</v>
      </c>
      <c r="G229">
        <v>90</v>
      </c>
      <c r="H229">
        <v>91</v>
      </c>
      <c r="I229" t="s">
        <v>13</v>
      </c>
      <c r="J229">
        <v>6</v>
      </c>
      <c r="K229">
        <v>2</v>
      </c>
      <c r="L229">
        <v>269</v>
      </c>
      <c r="M229">
        <v>89.666666666666671</v>
      </c>
      <c r="N229" t="s">
        <v>198</v>
      </c>
      <c r="O229">
        <v>17.933333333333334</v>
      </c>
      <c r="P229" t="s">
        <v>16</v>
      </c>
      <c r="Q229" t="s">
        <v>212</v>
      </c>
      <c r="R229" t="s">
        <v>213</v>
      </c>
      <c r="S229" t="s">
        <v>195</v>
      </c>
      <c r="T229" t="s">
        <v>180</v>
      </c>
    </row>
    <row r="230" spans="1:20">
      <c r="A230">
        <v>428</v>
      </c>
      <c r="B230" t="s">
        <v>38</v>
      </c>
      <c r="C230" t="s">
        <v>15</v>
      </c>
      <c r="D230">
        <v>4</v>
      </c>
      <c r="E230">
        <v>85</v>
      </c>
      <c r="F230">
        <v>80</v>
      </c>
      <c r="G230">
        <v>82</v>
      </c>
      <c r="H230">
        <v>84</v>
      </c>
      <c r="I230" t="s">
        <v>13</v>
      </c>
      <c r="J230">
        <v>7</v>
      </c>
      <c r="K230">
        <v>3</v>
      </c>
      <c r="L230">
        <v>246</v>
      </c>
      <c r="M230">
        <v>82</v>
      </c>
      <c r="N230" t="s">
        <v>198</v>
      </c>
      <c r="O230">
        <v>20.5</v>
      </c>
      <c r="P230" t="s">
        <v>16</v>
      </c>
      <c r="Q230" t="s">
        <v>212</v>
      </c>
      <c r="R230" t="s">
        <v>213</v>
      </c>
      <c r="S230" t="s">
        <v>195</v>
      </c>
      <c r="T230" t="s">
        <v>180</v>
      </c>
    </row>
    <row r="231" spans="1:20">
      <c r="A231">
        <v>429</v>
      </c>
      <c r="B231" t="s">
        <v>164</v>
      </c>
      <c r="C231" t="s">
        <v>12</v>
      </c>
      <c r="D231">
        <v>6</v>
      </c>
      <c r="E231">
        <v>94</v>
      </c>
      <c r="F231">
        <v>91</v>
      </c>
      <c r="G231">
        <v>90</v>
      </c>
      <c r="H231">
        <v>92</v>
      </c>
      <c r="I231" t="s">
        <v>16</v>
      </c>
      <c r="J231">
        <v>6</v>
      </c>
      <c r="K231">
        <v>2</v>
      </c>
      <c r="L231">
        <v>273</v>
      </c>
      <c r="M231">
        <v>91</v>
      </c>
      <c r="N231" t="s">
        <v>198</v>
      </c>
      <c r="O231">
        <v>15.166666666666666</v>
      </c>
      <c r="P231" t="s">
        <v>16</v>
      </c>
      <c r="Q231" t="s">
        <v>212</v>
      </c>
      <c r="R231" t="s">
        <v>213</v>
      </c>
      <c r="S231" t="s">
        <v>195</v>
      </c>
      <c r="T231" t="s">
        <v>180</v>
      </c>
    </row>
    <row r="232" spans="1:20">
      <c r="A232">
        <v>432</v>
      </c>
      <c r="B232" t="s">
        <v>58</v>
      </c>
      <c r="C232" t="s">
        <v>15</v>
      </c>
      <c r="D232">
        <v>5</v>
      </c>
      <c r="E232">
        <v>90</v>
      </c>
      <c r="F232">
        <v>86</v>
      </c>
      <c r="G232">
        <v>88</v>
      </c>
      <c r="H232">
        <v>89</v>
      </c>
      <c r="I232" t="s">
        <v>13</v>
      </c>
      <c r="J232">
        <v>6</v>
      </c>
      <c r="K232">
        <v>2</v>
      </c>
      <c r="L232">
        <v>263</v>
      </c>
      <c r="M232">
        <v>87.666666666666671</v>
      </c>
      <c r="N232" t="s">
        <v>198</v>
      </c>
      <c r="O232">
        <v>17.533333333333335</v>
      </c>
      <c r="P232" t="s">
        <v>16</v>
      </c>
      <c r="Q232" t="s">
        <v>212</v>
      </c>
      <c r="R232" t="s">
        <v>213</v>
      </c>
      <c r="S232" t="s">
        <v>195</v>
      </c>
      <c r="T232" t="s">
        <v>180</v>
      </c>
    </row>
    <row r="233" spans="1:20">
      <c r="A233">
        <v>434</v>
      </c>
      <c r="B233" t="s">
        <v>32</v>
      </c>
      <c r="C233" t="s">
        <v>15</v>
      </c>
      <c r="D233">
        <v>4</v>
      </c>
      <c r="E233">
        <v>87</v>
      </c>
      <c r="F233">
        <v>83</v>
      </c>
      <c r="G233">
        <v>81</v>
      </c>
      <c r="H233">
        <v>85</v>
      </c>
      <c r="I233" t="s">
        <v>13</v>
      </c>
      <c r="J233">
        <v>6</v>
      </c>
      <c r="K233">
        <v>3</v>
      </c>
      <c r="L233">
        <v>249</v>
      </c>
      <c r="M233">
        <v>83</v>
      </c>
      <c r="N233" t="s">
        <v>198</v>
      </c>
      <c r="O233">
        <v>20.75</v>
      </c>
      <c r="P233" t="s">
        <v>16</v>
      </c>
      <c r="Q233" t="s">
        <v>212</v>
      </c>
      <c r="R233" t="s">
        <v>213</v>
      </c>
      <c r="S233" t="s">
        <v>195</v>
      </c>
      <c r="T233" t="s">
        <v>180</v>
      </c>
    </row>
    <row r="234" spans="1:20">
      <c r="A234">
        <v>436</v>
      </c>
      <c r="B234" t="s">
        <v>155</v>
      </c>
      <c r="C234" t="s">
        <v>15</v>
      </c>
      <c r="D234">
        <v>5</v>
      </c>
      <c r="E234">
        <v>92</v>
      </c>
      <c r="F234">
        <v>88</v>
      </c>
      <c r="G234">
        <v>90</v>
      </c>
      <c r="H234">
        <v>91</v>
      </c>
      <c r="I234" t="s">
        <v>13</v>
      </c>
      <c r="J234">
        <v>6</v>
      </c>
      <c r="K234">
        <v>2</v>
      </c>
      <c r="L234">
        <v>269</v>
      </c>
      <c r="M234">
        <v>89.666666666666671</v>
      </c>
      <c r="N234" t="s">
        <v>198</v>
      </c>
      <c r="O234">
        <v>17.933333333333334</v>
      </c>
      <c r="P234" t="s">
        <v>16</v>
      </c>
      <c r="Q234" t="s">
        <v>212</v>
      </c>
      <c r="R234" t="s">
        <v>213</v>
      </c>
      <c r="S234" t="s">
        <v>195</v>
      </c>
      <c r="T234" t="s">
        <v>180</v>
      </c>
    </row>
    <row r="235" spans="1:20">
      <c r="A235">
        <v>438</v>
      </c>
      <c r="B235" t="s">
        <v>72</v>
      </c>
      <c r="C235" t="s">
        <v>12</v>
      </c>
      <c r="D235">
        <v>4</v>
      </c>
      <c r="E235">
        <v>85</v>
      </c>
      <c r="F235">
        <v>80</v>
      </c>
      <c r="G235">
        <v>82</v>
      </c>
      <c r="H235">
        <v>84</v>
      </c>
      <c r="I235" t="s">
        <v>13</v>
      </c>
      <c r="J235">
        <v>7</v>
      </c>
      <c r="K235">
        <v>3</v>
      </c>
      <c r="L235">
        <v>246</v>
      </c>
      <c r="M235">
        <v>82</v>
      </c>
      <c r="N235" t="s">
        <v>198</v>
      </c>
      <c r="O235">
        <v>20.5</v>
      </c>
      <c r="P235" t="s">
        <v>16</v>
      </c>
      <c r="Q235" t="s">
        <v>212</v>
      </c>
      <c r="R235" t="s">
        <v>213</v>
      </c>
      <c r="S235" t="s">
        <v>195</v>
      </c>
      <c r="T235" t="s">
        <v>180</v>
      </c>
    </row>
    <row r="236" spans="1:20">
      <c r="A236">
        <v>439</v>
      </c>
      <c r="B236" t="s">
        <v>30</v>
      </c>
      <c r="C236" t="s">
        <v>15</v>
      </c>
      <c r="D236">
        <v>6</v>
      </c>
      <c r="E236">
        <v>94</v>
      </c>
      <c r="F236">
        <v>91</v>
      </c>
      <c r="G236">
        <v>90</v>
      </c>
      <c r="H236">
        <v>92</v>
      </c>
      <c r="I236" t="s">
        <v>16</v>
      </c>
      <c r="J236">
        <v>6</v>
      </c>
      <c r="K236">
        <v>2</v>
      </c>
      <c r="L236">
        <v>273</v>
      </c>
      <c r="M236">
        <v>91</v>
      </c>
      <c r="N236" t="s">
        <v>198</v>
      </c>
      <c r="O236">
        <v>15.166666666666666</v>
      </c>
      <c r="P236" t="s">
        <v>16</v>
      </c>
      <c r="Q236" t="s">
        <v>212</v>
      </c>
      <c r="R236" t="s">
        <v>213</v>
      </c>
      <c r="S236" t="s">
        <v>195</v>
      </c>
      <c r="T236" t="s">
        <v>180</v>
      </c>
    </row>
    <row r="237" spans="1:20">
      <c r="A237">
        <v>447</v>
      </c>
      <c r="B237" t="s">
        <v>52</v>
      </c>
      <c r="C237" t="s">
        <v>15</v>
      </c>
      <c r="D237">
        <v>4</v>
      </c>
      <c r="E237">
        <v>85</v>
      </c>
      <c r="F237">
        <v>80</v>
      </c>
      <c r="G237">
        <v>82</v>
      </c>
      <c r="H237">
        <v>84</v>
      </c>
      <c r="I237" t="s">
        <v>13</v>
      </c>
      <c r="J237">
        <v>7</v>
      </c>
      <c r="K237">
        <v>3</v>
      </c>
      <c r="L237">
        <v>246</v>
      </c>
      <c r="M237">
        <v>82</v>
      </c>
      <c r="N237" t="s">
        <v>198</v>
      </c>
      <c r="O237">
        <v>20.5</v>
      </c>
      <c r="P237" t="s">
        <v>16</v>
      </c>
      <c r="Q237" t="s">
        <v>212</v>
      </c>
      <c r="R237" t="s">
        <v>213</v>
      </c>
      <c r="S237" t="s">
        <v>195</v>
      </c>
      <c r="T237" t="s">
        <v>180</v>
      </c>
    </row>
    <row r="238" spans="1:20">
      <c r="A238">
        <v>442</v>
      </c>
      <c r="B238" t="s">
        <v>68</v>
      </c>
      <c r="C238" t="s">
        <v>15</v>
      </c>
      <c r="D238">
        <v>4</v>
      </c>
      <c r="E238">
        <v>88</v>
      </c>
      <c r="F238">
        <v>82</v>
      </c>
      <c r="G238">
        <v>79</v>
      </c>
      <c r="H238">
        <v>85</v>
      </c>
      <c r="I238" t="s">
        <v>13</v>
      </c>
      <c r="J238">
        <v>7</v>
      </c>
      <c r="K238">
        <v>3</v>
      </c>
      <c r="L238">
        <v>246</v>
      </c>
      <c r="M238">
        <v>82</v>
      </c>
      <c r="N238" t="s">
        <v>198</v>
      </c>
      <c r="O238">
        <v>20.5</v>
      </c>
      <c r="P238" t="s">
        <v>16</v>
      </c>
      <c r="Q238" t="s">
        <v>212</v>
      </c>
      <c r="R238" t="s">
        <v>213</v>
      </c>
      <c r="S238" t="s">
        <v>195</v>
      </c>
      <c r="T238" t="s">
        <v>180</v>
      </c>
    </row>
    <row r="239" spans="1:20">
      <c r="A239">
        <v>444</v>
      </c>
      <c r="B239" t="s">
        <v>154</v>
      </c>
      <c r="C239" t="s">
        <v>15</v>
      </c>
      <c r="D239">
        <v>0</v>
      </c>
      <c r="E239">
        <v>85</v>
      </c>
      <c r="F239">
        <v>80</v>
      </c>
      <c r="G239">
        <v>82</v>
      </c>
      <c r="H239">
        <v>84</v>
      </c>
      <c r="I239" t="s">
        <v>13</v>
      </c>
      <c r="J239">
        <v>7</v>
      </c>
      <c r="K239">
        <v>3</v>
      </c>
      <c r="L239">
        <v>246</v>
      </c>
      <c r="M239">
        <v>82</v>
      </c>
      <c r="N239" t="s">
        <v>198</v>
      </c>
      <c r="O239">
        <v>0</v>
      </c>
      <c r="P239" t="s">
        <v>16</v>
      </c>
      <c r="Q239" t="s">
        <v>214</v>
      </c>
      <c r="R239" t="s">
        <v>213</v>
      </c>
      <c r="S239" t="s">
        <v>195</v>
      </c>
      <c r="T239" t="s">
        <v>180</v>
      </c>
    </row>
    <row r="240" spans="1:20">
      <c r="A240">
        <v>446</v>
      </c>
      <c r="B240" t="s">
        <v>28</v>
      </c>
      <c r="C240" t="s">
        <v>15</v>
      </c>
      <c r="D240">
        <v>5</v>
      </c>
      <c r="E240">
        <v>92</v>
      </c>
      <c r="F240">
        <v>88</v>
      </c>
      <c r="G240">
        <v>90</v>
      </c>
      <c r="H240">
        <v>91</v>
      </c>
      <c r="I240" t="s">
        <v>13</v>
      </c>
      <c r="J240">
        <v>6</v>
      </c>
      <c r="K240">
        <v>2</v>
      </c>
      <c r="L240">
        <v>269</v>
      </c>
      <c r="M240">
        <v>89.666666666666671</v>
      </c>
      <c r="N240" t="s">
        <v>198</v>
      </c>
      <c r="O240">
        <v>17.933333333333334</v>
      </c>
      <c r="P240" t="s">
        <v>16</v>
      </c>
      <c r="Q240" t="s">
        <v>212</v>
      </c>
      <c r="R240" t="s">
        <v>213</v>
      </c>
      <c r="S240" t="s">
        <v>195</v>
      </c>
      <c r="T240" t="s">
        <v>180</v>
      </c>
    </row>
    <row r="241" spans="1:20">
      <c r="A241">
        <v>449</v>
      </c>
      <c r="B241" t="s">
        <v>22</v>
      </c>
      <c r="C241" t="s">
        <v>15</v>
      </c>
      <c r="D241">
        <v>4</v>
      </c>
      <c r="E241">
        <v>87</v>
      </c>
      <c r="F241">
        <v>83</v>
      </c>
      <c r="G241">
        <v>81</v>
      </c>
      <c r="H241">
        <v>85</v>
      </c>
      <c r="I241" t="s">
        <v>13</v>
      </c>
      <c r="J241">
        <v>6</v>
      </c>
      <c r="K241">
        <v>3</v>
      </c>
      <c r="L241">
        <v>249</v>
      </c>
      <c r="M241">
        <v>83</v>
      </c>
      <c r="N241" t="s">
        <v>198</v>
      </c>
      <c r="O241">
        <v>20.75</v>
      </c>
      <c r="P241" t="s">
        <v>16</v>
      </c>
      <c r="Q241" t="s">
        <v>212</v>
      </c>
      <c r="R241" t="s">
        <v>213</v>
      </c>
      <c r="S241" t="s">
        <v>195</v>
      </c>
      <c r="T241" t="s">
        <v>180</v>
      </c>
    </row>
    <row r="242" spans="1:20">
      <c r="A242">
        <v>451</v>
      </c>
      <c r="B242" t="s">
        <v>34</v>
      </c>
      <c r="C242" t="s">
        <v>15</v>
      </c>
      <c r="D242">
        <v>5</v>
      </c>
      <c r="E242">
        <v>92</v>
      </c>
      <c r="F242">
        <v>88</v>
      </c>
      <c r="G242">
        <v>90</v>
      </c>
      <c r="H242">
        <v>91</v>
      </c>
      <c r="I242" t="s">
        <v>13</v>
      </c>
      <c r="J242">
        <v>6</v>
      </c>
      <c r="K242">
        <v>2</v>
      </c>
      <c r="L242">
        <v>269</v>
      </c>
      <c r="M242">
        <v>89.666666666666671</v>
      </c>
      <c r="N242" t="s">
        <v>198</v>
      </c>
      <c r="O242">
        <v>17.933333333333334</v>
      </c>
      <c r="P242" t="s">
        <v>16</v>
      </c>
      <c r="Q242" t="s">
        <v>212</v>
      </c>
      <c r="R242" t="s">
        <v>213</v>
      </c>
      <c r="S242" t="s">
        <v>195</v>
      </c>
      <c r="T242" t="s">
        <v>180</v>
      </c>
    </row>
    <row r="243" spans="1:20">
      <c r="A243">
        <v>454</v>
      </c>
      <c r="B243" t="s">
        <v>50</v>
      </c>
      <c r="C243" t="s">
        <v>15</v>
      </c>
      <c r="D243">
        <v>4</v>
      </c>
      <c r="E243">
        <v>85</v>
      </c>
      <c r="F243">
        <v>80</v>
      </c>
      <c r="G243">
        <v>82</v>
      </c>
      <c r="H243">
        <v>84</v>
      </c>
      <c r="I243" t="s">
        <v>13</v>
      </c>
      <c r="J243">
        <v>7</v>
      </c>
      <c r="K243">
        <v>3</v>
      </c>
      <c r="L243">
        <v>246</v>
      </c>
      <c r="M243">
        <v>82</v>
      </c>
      <c r="N243" t="s">
        <v>198</v>
      </c>
      <c r="O243">
        <v>20.5</v>
      </c>
      <c r="P243" t="s">
        <v>16</v>
      </c>
      <c r="Q243" t="s">
        <v>212</v>
      </c>
      <c r="R243" t="s">
        <v>213</v>
      </c>
      <c r="S243" t="s">
        <v>195</v>
      </c>
      <c r="T243" t="s">
        <v>180</v>
      </c>
    </row>
    <row r="244" spans="1:20">
      <c r="A244">
        <v>455</v>
      </c>
      <c r="B244" t="s">
        <v>111</v>
      </c>
      <c r="C244" t="s">
        <v>12</v>
      </c>
      <c r="D244">
        <v>6</v>
      </c>
      <c r="E244">
        <v>94</v>
      </c>
      <c r="F244">
        <v>91</v>
      </c>
      <c r="G244">
        <v>90</v>
      </c>
      <c r="H244">
        <v>92</v>
      </c>
      <c r="I244" t="s">
        <v>16</v>
      </c>
      <c r="J244">
        <v>6</v>
      </c>
      <c r="K244">
        <v>2</v>
      </c>
      <c r="L244">
        <v>273</v>
      </c>
      <c r="M244">
        <v>91</v>
      </c>
      <c r="N244" t="s">
        <v>198</v>
      </c>
      <c r="O244">
        <v>15.166666666666666</v>
      </c>
      <c r="P244" t="s">
        <v>16</v>
      </c>
      <c r="Q244" t="s">
        <v>212</v>
      </c>
      <c r="R244" t="s">
        <v>213</v>
      </c>
      <c r="S244" t="s">
        <v>195</v>
      </c>
      <c r="T244" t="s">
        <v>180</v>
      </c>
    </row>
    <row r="245" spans="1:20">
      <c r="A245">
        <v>458</v>
      </c>
      <c r="B245" t="s">
        <v>56</v>
      </c>
      <c r="C245" t="s">
        <v>15</v>
      </c>
      <c r="D245">
        <v>5</v>
      </c>
      <c r="E245">
        <v>90</v>
      </c>
      <c r="F245">
        <v>86</v>
      </c>
      <c r="G245">
        <v>88</v>
      </c>
      <c r="H245">
        <v>89</v>
      </c>
      <c r="I245" t="s">
        <v>13</v>
      </c>
      <c r="J245">
        <v>6</v>
      </c>
      <c r="K245">
        <v>2</v>
      </c>
      <c r="L245">
        <v>263</v>
      </c>
      <c r="M245">
        <v>87.666666666666671</v>
      </c>
      <c r="N245" t="s">
        <v>198</v>
      </c>
      <c r="O245">
        <v>17.533333333333335</v>
      </c>
      <c r="P245" t="s">
        <v>16</v>
      </c>
      <c r="Q245" t="s">
        <v>212</v>
      </c>
      <c r="R245" t="s">
        <v>213</v>
      </c>
      <c r="S245" t="s">
        <v>195</v>
      </c>
      <c r="T245" t="s">
        <v>180</v>
      </c>
    </row>
    <row r="246" spans="1:20">
      <c r="A246">
        <v>460</v>
      </c>
      <c r="B246" t="s">
        <v>32</v>
      </c>
      <c r="C246" t="s">
        <v>15</v>
      </c>
      <c r="D246">
        <v>4</v>
      </c>
      <c r="E246">
        <v>87</v>
      </c>
      <c r="F246">
        <v>83</v>
      </c>
      <c r="G246">
        <v>81</v>
      </c>
      <c r="H246">
        <v>85</v>
      </c>
      <c r="I246" t="s">
        <v>13</v>
      </c>
      <c r="J246">
        <v>6</v>
      </c>
      <c r="K246">
        <v>3</v>
      </c>
      <c r="L246">
        <v>249</v>
      </c>
      <c r="M246">
        <v>83</v>
      </c>
      <c r="N246" t="s">
        <v>198</v>
      </c>
      <c r="O246">
        <v>20.75</v>
      </c>
      <c r="P246" t="s">
        <v>16</v>
      </c>
      <c r="Q246" t="s">
        <v>212</v>
      </c>
      <c r="R246" t="s">
        <v>213</v>
      </c>
      <c r="S246" t="s">
        <v>195</v>
      </c>
      <c r="T246" t="s">
        <v>180</v>
      </c>
    </row>
    <row r="247" spans="1:20">
      <c r="A247">
        <v>462</v>
      </c>
      <c r="B247" t="s">
        <v>64</v>
      </c>
      <c r="C247" t="s">
        <v>15</v>
      </c>
      <c r="D247">
        <v>5</v>
      </c>
      <c r="E247">
        <v>92</v>
      </c>
      <c r="F247">
        <v>88</v>
      </c>
      <c r="G247">
        <v>90</v>
      </c>
      <c r="H247">
        <v>91</v>
      </c>
      <c r="I247" t="s">
        <v>13</v>
      </c>
      <c r="J247">
        <v>6</v>
      </c>
      <c r="K247">
        <v>2</v>
      </c>
      <c r="L247">
        <v>269</v>
      </c>
      <c r="M247">
        <v>89.666666666666671</v>
      </c>
      <c r="N247" t="s">
        <v>198</v>
      </c>
      <c r="O247">
        <v>17.933333333333334</v>
      </c>
      <c r="P247" t="s">
        <v>16</v>
      </c>
      <c r="Q247" t="s">
        <v>212</v>
      </c>
      <c r="R247" t="s">
        <v>213</v>
      </c>
      <c r="S247" t="s">
        <v>195</v>
      </c>
      <c r="T247" t="s">
        <v>180</v>
      </c>
    </row>
    <row r="248" spans="1:20">
      <c r="A248">
        <v>464</v>
      </c>
      <c r="B248" t="s">
        <v>38</v>
      </c>
      <c r="C248" t="s">
        <v>15</v>
      </c>
      <c r="D248">
        <v>4</v>
      </c>
      <c r="E248">
        <v>85</v>
      </c>
      <c r="F248">
        <v>80</v>
      </c>
      <c r="G248">
        <v>82</v>
      </c>
      <c r="H248">
        <v>84</v>
      </c>
      <c r="I248" t="s">
        <v>13</v>
      </c>
      <c r="J248">
        <v>7</v>
      </c>
      <c r="K248">
        <v>3</v>
      </c>
      <c r="L248">
        <v>246</v>
      </c>
      <c r="M248">
        <v>82</v>
      </c>
      <c r="N248" t="s">
        <v>198</v>
      </c>
      <c r="O248">
        <v>20.5</v>
      </c>
      <c r="P248" t="s">
        <v>16</v>
      </c>
      <c r="Q248" t="s">
        <v>212</v>
      </c>
      <c r="R248" t="s">
        <v>213</v>
      </c>
      <c r="S248" t="s">
        <v>195</v>
      </c>
      <c r="T248" t="s">
        <v>180</v>
      </c>
    </row>
    <row r="249" spans="1:20">
      <c r="A249">
        <v>465</v>
      </c>
      <c r="B249" t="s">
        <v>164</v>
      </c>
      <c r="C249" t="s">
        <v>12</v>
      </c>
      <c r="D249">
        <v>6</v>
      </c>
      <c r="E249">
        <v>94</v>
      </c>
      <c r="F249">
        <v>91</v>
      </c>
      <c r="G249">
        <v>90</v>
      </c>
      <c r="H249">
        <v>92</v>
      </c>
      <c r="I249" t="s">
        <v>16</v>
      </c>
      <c r="J249">
        <v>6</v>
      </c>
      <c r="K249">
        <v>2</v>
      </c>
      <c r="L249">
        <v>273</v>
      </c>
      <c r="M249">
        <v>91</v>
      </c>
      <c r="N249" t="s">
        <v>198</v>
      </c>
      <c r="O249">
        <v>15.166666666666666</v>
      </c>
      <c r="P249" t="s">
        <v>16</v>
      </c>
      <c r="Q249" t="s">
        <v>212</v>
      </c>
      <c r="R249" t="s">
        <v>213</v>
      </c>
      <c r="S249" t="s">
        <v>195</v>
      </c>
      <c r="T249" t="s">
        <v>180</v>
      </c>
    </row>
    <row r="250" spans="1:20">
      <c r="A250">
        <v>468</v>
      </c>
      <c r="B250" t="s">
        <v>58</v>
      </c>
      <c r="C250" t="s">
        <v>15</v>
      </c>
      <c r="D250">
        <v>5</v>
      </c>
      <c r="E250">
        <v>90</v>
      </c>
      <c r="F250">
        <v>86</v>
      </c>
      <c r="G250">
        <v>88</v>
      </c>
      <c r="H250">
        <v>89</v>
      </c>
      <c r="I250" t="s">
        <v>13</v>
      </c>
      <c r="J250">
        <v>6</v>
      </c>
      <c r="K250">
        <v>2</v>
      </c>
      <c r="L250">
        <v>263</v>
      </c>
      <c r="M250">
        <v>87.666666666666671</v>
      </c>
      <c r="N250" t="s">
        <v>198</v>
      </c>
      <c r="O250">
        <v>17.533333333333335</v>
      </c>
      <c r="P250" t="s">
        <v>16</v>
      </c>
      <c r="Q250" t="s">
        <v>212</v>
      </c>
      <c r="R250" t="s">
        <v>213</v>
      </c>
      <c r="S250" t="s">
        <v>195</v>
      </c>
      <c r="T250" t="s">
        <v>180</v>
      </c>
    </row>
    <row r="251" spans="1:20">
      <c r="A251">
        <v>470</v>
      </c>
      <c r="B251" t="s">
        <v>155</v>
      </c>
      <c r="C251" t="s">
        <v>15</v>
      </c>
      <c r="D251">
        <v>4</v>
      </c>
      <c r="E251">
        <v>87</v>
      </c>
      <c r="F251">
        <v>83</v>
      </c>
      <c r="G251">
        <v>81</v>
      </c>
      <c r="H251">
        <v>85</v>
      </c>
      <c r="I251" t="s">
        <v>13</v>
      </c>
      <c r="J251">
        <v>6</v>
      </c>
      <c r="K251">
        <v>3</v>
      </c>
      <c r="L251">
        <v>249</v>
      </c>
      <c r="M251">
        <v>83</v>
      </c>
      <c r="N251" t="s">
        <v>198</v>
      </c>
      <c r="O251">
        <v>20.75</v>
      </c>
      <c r="P251" t="s">
        <v>16</v>
      </c>
      <c r="Q251" t="s">
        <v>212</v>
      </c>
      <c r="R251" t="s">
        <v>213</v>
      </c>
      <c r="S251" t="s">
        <v>195</v>
      </c>
      <c r="T251" t="s">
        <v>180</v>
      </c>
    </row>
    <row r="252" spans="1:20">
      <c r="A252">
        <v>472</v>
      </c>
      <c r="B252" t="s">
        <v>40</v>
      </c>
      <c r="C252" t="s">
        <v>15</v>
      </c>
      <c r="D252">
        <v>5</v>
      </c>
      <c r="E252">
        <v>92</v>
      </c>
      <c r="F252">
        <v>88</v>
      </c>
      <c r="G252">
        <v>90</v>
      </c>
      <c r="H252">
        <v>91</v>
      </c>
      <c r="I252" t="s">
        <v>13</v>
      </c>
      <c r="J252">
        <v>6</v>
      </c>
      <c r="K252">
        <v>2</v>
      </c>
      <c r="L252">
        <v>269</v>
      </c>
      <c r="M252">
        <v>89.666666666666671</v>
      </c>
      <c r="N252" t="s">
        <v>198</v>
      </c>
      <c r="O252">
        <v>17.933333333333334</v>
      </c>
      <c r="P252" t="s">
        <v>16</v>
      </c>
      <c r="Q252" t="s">
        <v>212</v>
      </c>
      <c r="R252" t="s">
        <v>213</v>
      </c>
      <c r="S252" t="s">
        <v>195</v>
      </c>
      <c r="T252" t="s">
        <v>180</v>
      </c>
    </row>
    <row r="253" spans="1:20">
      <c r="A253">
        <v>474</v>
      </c>
      <c r="B253" t="s">
        <v>72</v>
      </c>
      <c r="C253" t="s">
        <v>12</v>
      </c>
      <c r="D253">
        <v>4</v>
      </c>
      <c r="E253">
        <v>85</v>
      </c>
      <c r="F253">
        <v>80</v>
      </c>
      <c r="G253">
        <v>82</v>
      </c>
      <c r="H253">
        <v>84</v>
      </c>
      <c r="I253" t="s">
        <v>13</v>
      </c>
      <c r="J253">
        <v>7</v>
      </c>
      <c r="K253">
        <v>3</v>
      </c>
      <c r="L253">
        <v>246</v>
      </c>
      <c r="M253">
        <v>82</v>
      </c>
      <c r="N253" t="s">
        <v>198</v>
      </c>
      <c r="O253">
        <v>20.5</v>
      </c>
      <c r="P253" t="s">
        <v>16</v>
      </c>
      <c r="Q253" t="s">
        <v>212</v>
      </c>
      <c r="R253" t="s">
        <v>213</v>
      </c>
      <c r="S253" t="s">
        <v>195</v>
      </c>
      <c r="T253" t="s">
        <v>180</v>
      </c>
    </row>
    <row r="254" spans="1:20">
      <c r="A254">
        <v>475</v>
      </c>
      <c r="B254" t="s">
        <v>30</v>
      </c>
      <c r="C254" t="s">
        <v>15</v>
      </c>
      <c r="D254">
        <v>6</v>
      </c>
      <c r="E254">
        <v>94</v>
      </c>
      <c r="F254">
        <v>91</v>
      </c>
      <c r="G254">
        <v>90</v>
      </c>
      <c r="H254">
        <v>92</v>
      </c>
      <c r="I254" t="s">
        <v>16</v>
      </c>
      <c r="J254">
        <v>6</v>
      </c>
      <c r="K254">
        <v>2</v>
      </c>
      <c r="L254">
        <v>273</v>
      </c>
      <c r="M254">
        <v>91</v>
      </c>
      <c r="N254" t="s">
        <v>198</v>
      </c>
      <c r="O254">
        <v>15.166666666666666</v>
      </c>
      <c r="P254" t="s">
        <v>16</v>
      </c>
      <c r="Q254" t="s">
        <v>212</v>
      </c>
      <c r="R254" t="s">
        <v>213</v>
      </c>
      <c r="S254" t="s">
        <v>195</v>
      </c>
      <c r="T254" t="s">
        <v>180</v>
      </c>
    </row>
    <row r="255" spans="1:20">
      <c r="A255">
        <v>477</v>
      </c>
      <c r="B255" t="s">
        <v>144</v>
      </c>
      <c r="C255" t="s">
        <v>15</v>
      </c>
      <c r="D255">
        <v>5</v>
      </c>
      <c r="E255">
        <v>90</v>
      </c>
      <c r="F255">
        <v>86</v>
      </c>
      <c r="G255">
        <v>88</v>
      </c>
      <c r="H255">
        <v>89</v>
      </c>
      <c r="I255" t="s">
        <v>13</v>
      </c>
      <c r="J255">
        <v>6</v>
      </c>
      <c r="K255">
        <v>2</v>
      </c>
      <c r="L255">
        <v>263</v>
      </c>
      <c r="M255">
        <v>87.666666666666671</v>
      </c>
      <c r="N255" t="s">
        <v>198</v>
      </c>
      <c r="O255">
        <v>17.533333333333335</v>
      </c>
      <c r="P255" t="s">
        <v>16</v>
      </c>
      <c r="Q255" t="s">
        <v>212</v>
      </c>
      <c r="R255" t="s">
        <v>213</v>
      </c>
      <c r="S255" t="s">
        <v>195</v>
      </c>
      <c r="T255" t="s">
        <v>180</v>
      </c>
    </row>
    <row r="256" spans="1:20">
      <c r="A256">
        <v>479</v>
      </c>
      <c r="B256" t="s">
        <v>40</v>
      </c>
      <c r="C256" t="s">
        <v>15</v>
      </c>
      <c r="D256">
        <v>4</v>
      </c>
      <c r="E256">
        <v>87</v>
      </c>
      <c r="F256">
        <v>83</v>
      </c>
      <c r="G256">
        <v>81</v>
      </c>
      <c r="H256">
        <v>85</v>
      </c>
      <c r="I256" t="s">
        <v>13</v>
      </c>
      <c r="J256">
        <v>6</v>
      </c>
      <c r="K256">
        <v>3</v>
      </c>
      <c r="L256">
        <v>249</v>
      </c>
      <c r="M256">
        <v>83</v>
      </c>
      <c r="N256" t="s">
        <v>198</v>
      </c>
      <c r="O256">
        <v>20.75</v>
      </c>
      <c r="P256" t="s">
        <v>16</v>
      </c>
      <c r="Q256" t="s">
        <v>212</v>
      </c>
      <c r="R256" t="s">
        <v>213</v>
      </c>
      <c r="S256" t="s">
        <v>195</v>
      </c>
      <c r="T256" t="s">
        <v>180</v>
      </c>
    </row>
    <row r="257" spans="1:20">
      <c r="A257">
        <v>481</v>
      </c>
      <c r="B257" t="s">
        <v>55</v>
      </c>
      <c r="C257" t="s">
        <v>12</v>
      </c>
      <c r="D257">
        <v>5</v>
      </c>
      <c r="E257">
        <v>92</v>
      </c>
      <c r="F257">
        <v>88</v>
      </c>
      <c r="G257">
        <v>90</v>
      </c>
      <c r="H257">
        <v>91</v>
      </c>
      <c r="I257" t="s">
        <v>13</v>
      </c>
      <c r="J257">
        <v>6</v>
      </c>
      <c r="K257">
        <v>2</v>
      </c>
      <c r="L257">
        <v>269</v>
      </c>
      <c r="M257">
        <v>89.666666666666671</v>
      </c>
      <c r="N257" t="s">
        <v>198</v>
      </c>
      <c r="O257">
        <v>17.933333333333334</v>
      </c>
      <c r="P257" t="s">
        <v>16</v>
      </c>
      <c r="Q257" t="s">
        <v>212</v>
      </c>
      <c r="R257" t="s">
        <v>213</v>
      </c>
      <c r="S257" t="s">
        <v>195</v>
      </c>
      <c r="T257" t="s">
        <v>180</v>
      </c>
    </row>
    <row r="258" spans="1:20">
      <c r="A258">
        <v>483</v>
      </c>
      <c r="B258" t="s">
        <v>60</v>
      </c>
      <c r="C258" t="s">
        <v>15</v>
      </c>
      <c r="D258">
        <v>4</v>
      </c>
      <c r="E258">
        <v>85</v>
      </c>
      <c r="F258">
        <v>80</v>
      </c>
      <c r="G258">
        <v>82</v>
      </c>
      <c r="H258">
        <v>84</v>
      </c>
      <c r="I258" t="s">
        <v>13</v>
      </c>
      <c r="J258">
        <v>7</v>
      </c>
      <c r="K258">
        <v>3</v>
      </c>
      <c r="L258">
        <v>246</v>
      </c>
      <c r="M258">
        <v>82</v>
      </c>
      <c r="N258" t="s">
        <v>198</v>
      </c>
      <c r="O258">
        <v>20.5</v>
      </c>
      <c r="P258" t="s">
        <v>16</v>
      </c>
      <c r="Q258" t="s">
        <v>212</v>
      </c>
      <c r="R258" t="s">
        <v>213</v>
      </c>
      <c r="S258" t="s">
        <v>195</v>
      </c>
      <c r="T258" t="s">
        <v>180</v>
      </c>
    </row>
    <row r="259" spans="1:20">
      <c r="A259">
        <v>484</v>
      </c>
      <c r="B259" t="s">
        <v>51</v>
      </c>
      <c r="C259" t="s">
        <v>12</v>
      </c>
      <c r="D259">
        <v>6</v>
      </c>
      <c r="E259">
        <v>94</v>
      </c>
      <c r="F259">
        <v>91</v>
      </c>
      <c r="G259">
        <v>90</v>
      </c>
      <c r="H259">
        <v>92</v>
      </c>
      <c r="I259" t="s">
        <v>16</v>
      </c>
      <c r="J259">
        <v>6</v>
      </c>
      <c r="K259">
        <v>2</v>
      </c>
      <c r="L259">
        <v>273</v>
      </c>
      <c r="M259">
        <v>91</v>
      </c>
      <c r="N259" t="s">
        <v>198</v>
      </c>
      <c r="O259">
        <v>15.166666666666666</v>
      </c>
      <c r="P259" t="s">
        <v>16</v>
      </c>
      <c r="Q259" t="s">
        <v>212</v>
      </c>
      <c r="R259" t="s">
        <v>213</v>
      </c>
      <c r="S259" t="s">
        <v>195</v>
      </c>
      <c r="T259" t="s">
        <v>180</v>
      </c>
    </row>
    <row r="260" spans="1:20">
      <c r="A260">
        <v>487</v>
      </c>
      <c r="B260" t="s">
        <v>14</v>
      </c>
      <c r="C260" t="s">
        <v>15</v>
      </c>
      <c r="D260">
        <v>5</v>
      </c>
      <c r="E260">
        <v>90</v>
      </c>
      <c r="F260">
        <v>86</v>
      </c>
      <c r="G260">
        <v>88</v>
      </c>
      <c r="H260">
        <v>89</v>
      </c>
      <c r="I260" t="s">
        <v>13</v>
      </c>
      <c r="J260">
        <v>6</v>
      </c>
      <c r="K260">
        <v>2</v>
      </c>
      <c r="L260">
        <v>263</v>
      </c>
      <c r="M260">
        <v>87.666666666666671</v>
      </c>
      <c r="N260" t="s">
        <v>198</v>
      </c>
      <c r="O260">
        <v>17.533333333333335</v>
      </c>
      <c r="P260" t="s">
        <v>16</v>
      </c>
      <c r="Q260" t="s">
        <v>212</v>
      </c>
      <c r="R260" t="s">
        <v>213</v>
      </c>
      <c r="S260" t="s">
        <v>195</v>
      </c>
      <c r="T260" t="s">
        <v>180</v>
      </c>
    </row>
    <row r="261" spans="1:20">
      <c r="A261">
        <v>490</v>
      </c>
      <c r="B261" t="s">
        <v>158</v>
      </c>
      <c r="C261" t="s">
        <v>15</v>
      </c>
      <c r="D261">
        <v>5</v>
      </c>
      <c r="E261">
        <v>90</v>
      </c>
      <c r="F261">
        <v>86</v>
      </c>
      <c r="G261">
        <v>88</v>
      </c>
      <c r="H261">
        <v>89</v>
      </c>
      <c r="I261" t="s">
        <v>13</v>
      </c>
      <c r="J261">
        <v>6</v>
      </c>
      <c r="K261">
        <v>2</v>
      </c>
      <c r="L261">
        <v>263</v>
      </c>
      <c r="M261">
        <v>87.666666666666671</v>
      </c>
      <c r="N261" t="s">
        <v>198</v>
      </c>
      <c r="O261">
        <v>17.533333333333335</v>
      </c>
      <c r="P261" t="s">
        <v>16</v>
      </c>
      <c r="Q261" t="s">
        <v>212</v>
      </c>
      <c r="R261" t="s">
        <v>213</v>
      </c>
      <c r="S261" t="s">
        <v>195</v>
      </c>
      <c r="T261" t="s">
        <v>180</v>
      </c>
    </row>
    <row r="262" spans="1:20">
      <c r="A262">
        <v>491</v>
      </c>
      <c r="B262" t="s">
        <v>63</v>
      </c>
      <c r="C262" t="s">
        <v>12</v>
      </c>
      <c r="D262">
        <v>0</v>
      </c>
      <c r="E262">
        <v>85</v>
      </c>
      <c r="F262">
        <v>80</v>
      </c>
      <c r="G262">
        <v>82</v>
      </c>
      <c r="H262">
        <v>84</v>
      </c>
      <c r="I262" t="s">
        <v>13</v>
      </c>
      <c r="J262">
        <v>7</v>
      </c>
      <c r="K262">
        <v>3</v>
      </c>
      <c r="L262">
        <v>246</v>
      </c>
      <c r="M262">
        <v>82</v>
      </c>
      <c r="N262" t="s">
        <v>198</v>
      </c>
      <c r="O262">
        <v>0</v>
      </c>
      <c r="P262" t="s">
        <v>16</v>
      </c>
      <c r="Q262" t="s">
        <v>214</v>
      </c>
      <c r="R262" t="s">
        <v>213</v>
      </c>
      <c r="S262" t="s">
        <v>195</v>
      </c>
      <c r="T262" t="s">
        <v>180</v>
      </c>
    </row>
    <row r="263" spans="1:20">
      <c r="A263">
        <v>493</v>
      </c>
      <c r="B263" t="s">
        <v>40</v>
      </c>
      <c r="C263" t="s">
        <v>15</v>
      </c>
      <c r="D263">
        <v>5</v>
      </c>
      <c r="E263">
        <v>92</v>
      </c>
      <c r="F263">
        <v>88</v>
      </c>
      <c r="G263">
        <v>90</v>
      </c>
      <c r="H263">
        <v>91</v>
      </c>
      <c r="I263" t="s">
        <v>13</v>
      </c>
      <c r="J263">
        <v>0</v>
      </c>
      <c r="K263">
        <v>2</v>
      </c>
      <c r="L263">
        <v>269</v>
      </c>
      <c r="M263">
        <v>89.666666666666671</v>
      </c>
      <c r="N263" t="s">
        <v>198</v>
      </c>
      <c r="O263">
        <v>17.933333333333334</v>
      </c>
      <c r="P263" t="s">
        <v>16</v>
      </c>
      <c r="Q263" t="s">
        <v>212</v>
      </c>
      <c r="R263" t="s">
        <v>215</v>
      </c>
      <c r="S263" t="s">
        <v>195</v>
      </c>
      <c r="T263" t="s">
        <v>180</v>
      </c>
    </row>
    <row r="264" spans="1:20">
      <c r="A264">
        <v>495</v>
      </c>
      <c r="B264" t="s">
        <v>50</v>
      </c>
      <c r="C264" t="s">
        <v>15</v>
      </c>
      <c r="D264">
        <v>4</v>
      </c>
      <c r="E264">
        <v>87</v>
      </c>
      <c r="F264">
        <v>83</v>
      </c>
      <c r="G264">
        <v>81</v>
      </c>
      <c r="H264">
        <v>85</v>
      </c>
      <c r="I264" t="s">
        <v>13</v>
      </c>
      <c r="J264">
        <v>6</v>
      </c>
      <c r="K264">
        <v>3</v>
      </c>
      <c r="L264">
        <v>249</v>
      </c>
      <c r="M264">
        <v>83</v>
      </c>
      <c r="N264" t="s">
        <v>198</v>
      </c>
      <c r="O264">
        <v>20.75</v>
      </c>
      <c r="P264" t="s">
        <v>16</v>
      </c>
      <c r="Q264" t="s">
        <v>212</v>
      </c>
      <c r="R264" t="s">
        <v>213</v>
      </c>
      <c r="S264" t="s">
        <v>195</v>
      </c>
      <c r="T264" t="s">
        <v>180</v>
      </c>
    </row>
    <row r="265" spans="1:20">
      <c r="A265">
        <v>497</v>
      </c>
      <c r="B265" t="s">
        <v>154</v>
      </c>
      <c r="C265" t="s">
        <v>15</v>
      </c>
      <c r="D265">
        <v>5</v>
      </c>
      <c r="E265">
        <v>91</v>
      </c>
      <c r="F265">
        <v>87</v>
      </c>
      <c r="G265">
        <v>88</v>
      </c>
      <c r="H265">
        <v>90</v>
      </c>
      <c r="I265" t="s">
        <v>13</v>
      </c>
      <c r="J265">
        <v>6</v>
      </c>
      <c r="K265">
        <v>2</v>
      </c>
      <c r="L265">
        <v>265</v>
      </c>
      <c r="M265">
        <v>88.333333333333329</v>
      </c>
      <c r="N265" t="s">
        <v>198</v>
      </c>
      <c r="O265">
        <v>17.666666666666664</v>
      </c>
      <c r="P265" t="s">
        <v>16</v>
      </c>
      <c r="Q265" t="s">
        <v>212</v>
      </c>
      <c r="R265" t="s">
        <v>213</v>
      </c>
      <c r="S265" t="s">
        <v>195</v>
      </c>
      <c r="T265" t="s">
        <v>180</v>
      </c>
    </row>
    <row r="266" spans="1:20">
      <c r="A266">
        <v>498</v>
      </c>
      <c r="B266" t="s">
        <v>156</v>
      </c>
      <c r="C266" t="s">
        <v>12</v>
      </c>
      <c r="D266">
        <v>6</v>
      </c>
      <c r="E266">
        <v>94</v>
      </c>
      <c r="F266">
        <v>91</v>
      </c>
      <c r="G266">
        <v>90</v>
      </c>
      <c r="H266">
        <v>92</v>
      </c>
      <c r="I266" t="s">
        <v>16</v>
      </c>
      <c r="J266">
        <v>6</v>
      </c>
      <c r="K266">
        <v>2</v>
      </c>
      <c r="L266">
        <v>273</v>
      </c>
      <c r="M266">
        <v>91</v>
      </c>
      <c r="N266" t="s">
        <v>198</v>
      </c>
      <c r="O266">
        <v>15.166666666666666</v>
      </c>
      <c r="P266" t="s">
        <v>16</v>
      </c>
      <c r="Q266" t="s">
        <v>212</v>
      </c>
      <c r="R266" t="s">
        <v>213</v>
      </c>
      <c r="S266" t="s">
        <v>195</v>
      </c>
      <c r="T266" t="s">
        <v>180</v>
      </c>
    </row>
    <row r="267" spans="1:20">
      <c r="A267">
        <v>500</v>
      </c>
      <c r="B267" t="s">
        <v>28</v>
      </c>
      <c r="C267" t="s">
        <v>15</v>
      </c>
      <c r="D267">
        <v>4</v>
      </c>
      <c r="E267">
        <v>85</v>
      </c>
      <c r="F267">
        <v>80</v>
      </c>
      <c r="G267">
        <v>82</v>
      </c>
      <c r="H267">
        <v>84</v>
      </c>
      <c r="I267" t="s">
        <v>13</v>
      </c>
      <c r="J267">
        <v>7</v>
      </c>
      <c r="K267">
        <v>3</v>
      </c>
      <c r="L267">
        <v>246</v>
      </c>
      <c r="M267">
        <v>82</v>
      </c>
      <c r="N267" t="s">
        <v>198</v>
      </c>
      <c r="O267">
        <v>20.5</v>
      </c>
      <c r="P267" t="s">
        <v>16</v>
      </c>
      <c r="Q267" t="s">
        <v>212</v>
      </c>
      <c r="R267" t="s">
        <v>213</v>
      </c>
      <c r="S267" t="s">
        <v>195</v>
      </c>
      <c r="T267" t="s">
        <v>180</v>
      </c>
    </row>
    <row r="268" spans="1:20">
      <c r="A268">
        <v>1</v>
      </c>
      <c r="B268" t="s">
        <v>11</v>
      </c>
      <c r="C268" t="s">
        <v>12</v>
      </c>
      <c r="D268">
        <v>3</v>
      </c>
      <c r="E268">
        <v>85</v>
      </c>
      <c r="F268">
        <v>78</v>
      </c>
      <c r="G268">
        <v>72</v>
      </c>
      <c r="H268">
        <v>80</v>
      </c>
      <c r="I268" t="s">
        <v>13</v>
      </c>
      <c r="J268">
        <v>7</v>
      </c>
      <c r="K268">
        <v>3</v>
      </c>
      <c r="L268">
        <v>230</v>
      </c>
      <c r="M268">
        <v>76.666666666666671</v>
      </c>
      <c r="N268" t="s">
        <v>199</v>
      </c>
      <c r="O268">
        <v>25.555555555555557</v>
      </c>
      <c r="P268" t="s">
        <v>16</v>
      </c>
      <c r="Q268" t="s">
        <v>212</v>
      </c>
      <c r="R268" t="s">
        <v>215</v>
      </c>
      <c r="S268" t="s">
        <v>195</v>
      </c>
      <c r="T268" t="s">
        <v>179</v>
      </c>
    </row>
    <row r="269" spans="1:20">
      <c r="A269">
        <v>3</v>
      </c>
      <c r="B269" t="s">
        <v>17</v>
      </c>
      <c r="C269" t="s">
        <v>12</v>
      </c>
      <c r="D269">
        <v>0</v>
      </c>
      <c r="E269">
        <v>70</v>
      </c>
      <c r="F269">
        <v>60</v>
      </c>
      <c r="G269">
        <v>58</v>
      </c>
      <c r="H269">
        <v>62</v>
      </c>
      <c r="I269" t="s">
        <v>13</v>
      </c>
      <c r="J269">
        <v>8</v>
      </c>
      <c r="K269">
        <v>5</v>
      </c>
      <c r="L269">
        <v>180</v>
      </c>
      <c r="M269">
        <v>60</v>
      </c>
      <c r="N269" t="s">
        <v>199</v>
      </c>
      <c r="O269">
        <v>0</v>
      </c>
      <c r="P269" t="s">
        <v>16</v>
      </c>
      <c r="Q269" t="s">
        <v>212</v>
      </c>
      <c r="R269" t="s">
        <v>215</v>
      </c>
      <c r="S269" t="s">
        <v>196</v>
      </c>
      <c r="T269" t="s">
        <v>178</v>
      </c>
    </row>
    <row r="270" spans="1:20">
      <c r="A270">
        <v>11</v>
      </c>
      <c r="B270" t="s">
        <v>25</v>
      </c>
      <c r="C270" t="s">
        <v>12</v>
      </c>
      <c r="D270">
        <v>2</v>
      </c>
      <c r="E270">
        <v>75</v>
      </c>
      <c r="F270">
        <v>65</v>
      </c>
      <c r="G270">
        <v>60</v>
      </c>
      <c r="H270">
        <v>68</v>
      </c>
      <c r="I270" t="s">
        <v>13</v>
      </c>
      <c r="J270">
        <v>7</v>
      </c>
      <c r="K270">
        <v>5</v>
      </c>
      <c r="L270">
        <v>193</v>
      </c>
      <c r="M270">
        <v>64.333333333333329</v>
      </c>
      <c r="N270" t="s">
        <v>199</v>
      </c>
      <c r="O270">
        <v>32.166666666666664</v>
      </c>
      <c r="P270" t="s">
        <v>16</v>
      </c>
      <c r="Q270" t="s">
        <v>212</v>
      </c>
      <c r="R270" t="s">
        <v>215</v>
      </c>
      <c r="S270" t="s">
        <v>196</v>
      </c>
      <c r="T270" t="s">
        <v>178</v>
      </c>
    </row>
    <row r="271" spans="1:20">
      <c r="A271">
        <v>13</v>
      </c>
      <c r="B271" t="s">
        <v>27</v>
      </c>
      <c r="C271" t="s">
        <v>12</v>
      </c>
      <c r="D271">
        <v>3</v>
      </c>
      <c r="E271">
        <v>82</v>
      </c>
      <c r="F271">
        <v>78</v>
      </c>
      <c r="G271">
        <v>74</v>
      </c>
      <c r="H271">
        <v>79</v>
      </c>
      <c r="I271" t="s">
        <v>16</v>
      </c>
      <c r="J271">
        <v>7</v>
      </c>
      <c r="K271">
        <v>4</v>
      </c>
      <c r="L271">
        <v>231</v>
      </c>
      <c r="M271">
        <v>77</v>
      </c>
      <c r="N271" t="s">
        <v>199</v>
      </c>
      <c r="O271">
        <v>25.666666666666668</v>
      </c>
      <c r="P271" t="s">
        <v>16</v>
      </c>
      <c r="Q271" t="s">
        <v>212</v>
      </c>
      <c r="R271" t="s">
        <v>215</v>
      </c>
      <c r="S271" t="s">
        <v>195</v>
      </c>
      <c r="T271" t="s">
        <v>179</v>
      </c>
    </row>
    <row r="272" spans="1:20">
      <c r="A272">
        <v>18</v>
      </c>
      <c r="B272" t="s">
        <v>32</v>
      </c>
      <c r="C272" t="s">
        <v>15</v>
      </c>
      <c r="D272">
        <v>3</v>
      </c>
      <c r="E272">
        <v>78</v>
      </c>
      <c r="F272">
        <v>72</v>
      </c>
      <c r="G272">
        <v>70</v>
      </c>
      <c r="H272">
        <v>75</v>
      </c>
      <c r="I272" t="s">
        <v>13</v>
      </c>
      <c r="J272">
        <v>7</v>
      </c>
      <c r="K272">
        <v>4</v>
      </c>
      <c r="L272">
        <v>217</v>
      </c>
      <c r="M272">
        <v>72.333333333333329</v>
      </c>
      <c r="N272" t="s">
        <v>199</v>
      </c>
      <c r="O272">
        <v>24.111111111111111</v>
      </c>
      <c r="P272" t="s">
        <v>16</v>
      </c>
      <c r="Q272" t="s">
        <v>212</v>
      </c>
      <c r="R272" t="s">
        <v>215</v>
      </c>
      <c r="S272" t="s">
        <v>196</v>
      </c>
      <c r="T272" t="s">
        <v>179</v>
      </c>
    </row>
    <row r="273" spans="1:20">
      <c r="A273">
        <v>19</v>
      </c>
      <c r="B273" t="s">
        <v>33</v>
      </c>
      <c r="C273" t="s">
        <v>12</v>
      </c>
      <c r="D273">
        <v>2</v>
      </c>
      <c r="E273">
        <v>72</v>
      </c>
      <c r="F273">
        <v>65</v>
      </c>
      <c r="G273">
        <v>63</v>
      </c>
      <c r="H273">
        <v>67</v>
      </c>
      <c r="I273" t="s">
        <v>16</v>
      </c>
      <c r="J273">
        <v>8</v>
      </c>
      <c r="K273">
        <v>5</v>
      </c>
      <c r="L273">
        <v>195</v>
      </c>
      <c r="M273">
        <v>65</v>
      </c>
      <c r="N273" t="s">
        <v>199</v>
      </c>
      <c r="O273">
        <v>32.5</v>
      </c>
      <c r="P273" t="s">
        <v>16</v>
      </c>
      <c r="Q273" t="s">
        <v>212</v>
      </c>
      <c r="R273" t="s">
        <v>215</v>
      </c>
      <c r="S273" t="s">
        <v>196</v>
      </c>
      <c r="T273" t="s">
        <v>178</v>
      </c>
    </row>
    <row r="274" spans="1:20">
      <c r="A274">
        <v>21</v>
      </c>
      <c r="B274" t="s">
        <v>35</v>
      </c>
      <c r="C274" t="s">
        <v>12</v>
      </c>
      <c r="D274">
        <v>3</v>
      </c>
      <c r="E274">
        <v>80</v>
      </c>
      <c r="F274">
        <v>75</v>
      </c>
      <c r="G274">
        <v>73</v>
      </c>
      <c r="H274">
        <v>77</v>
      </c>
      <c r="I274" t="s">
        <v>13</v>
      </c>
      <c r="J274">
        <v>7</v>
      </c>
      <c r="K274">
        <v>4</v>
      </c>
      <c r="L274">
        <v>225</v>
      </c>
      <c r="M274">
        <v>75</v>
      </c>
      <c r="N274" t="s">
        <v>199</v>
      </c>
      <c r="O274">
        <v>25</v>
      </c>
      <c r="P274" t="s">
        <v>16</v>
      </c>
      <c r="Q274" t="s">
        <v>212</v>
      </c>
      <c r="R274" t="s">
        <v>215</v>
      </c>
      <c r="S274" t="s">
        <v>195</v>
      </c>
      <c r="T274" t="s">
        <v>179</v>
      </c>
    </row>
    <row r="275" spans="1:20">
      <c r="A275">
        <v>25</v>
      </c>
      <c r="B275" t="s">
        <v>39</v>
      </c>
      <c r="C275" t="s">
        <v>12</v>
      </c>
      <c r="D275">
        <v>3</v>
      </c>
      <c r="E275">
        <v>78</v>
      </c>
      <c r="F275">
        <v>72</v>
      </c>
      <c r="G275">
        <v>70</v>
      </c>
      <c r="H275">
        <v>74</v>
      </c>
      <c r="I275" t="s">
        <v>13</v>
      </c>
      <c r="J275">
        <v>7</v>
      </c>
      <c r="K275">
        <v>4</v>
      </c>
      <c r="L275">
        <v>216</v>
      </c>
      <c r="M275">
        <v>72</v>
      </c>
      <c r="N275" t="s">
        <v>199</v>
      </c>
      <c r="O275">
        <v>24</v>
      </c>
      <c r="P275" t="s">
        <v>16</v>
      </c>
      <c r="Q275" t="s">
        <v>212</v>
      </c>
      <c r="R275" t="s">
        <v>215</v>
      </c>
      <c r="S275" t="s">
        <v>196</v>
      </c>
      <c r="T275" t="s">
        <v>179</v>
      </c>
    </row>
    <row r="276" spans="1:20">
      <c r="A276">
        <v>27</v>
      </c>
      <c r="B276" t="s">
        <v>41</v>
      </c>
      <c r="C276" t="s">
        <v>12</v>
      </c>
      <c r="D276">
        <v>2</v>
      </c>
      <c r="E276">
        <v>50</v>
      </c>
      <c r="F276">
        <v>62</v>
      </c>
      <c r="G276">
        <v>60</v>
      </c>
      <c r="H276">
        <v>66</v>
      </c>
      <c r="I276" t="s">
        <v>13</v>
      </c>
      <c r="J276">
        <v>8</v>
      </c>
      <c r="K276">
        <v>5</v>
      </c>
      <c r="L276">
        <v>188</v>
      </c>
      <c r="M276">
        <v>62.666666666666664</v>
      </c>
      <c r="N276" t="s">
        <v>199</v>
      </c>
      <c r="O276">
        <v>31.333333333333332</v>
      </c>
      <c r="P276" t="s">
        <v>16</v>
      </c>
      <c r="Q276" t="s">
        <v>212</v>
      </c>
      <c r="R276" t="s">
        <v>215</v>
      </c>
      <c r="S276" t="s">
        <v>197</v>
      </c>
      <c r="T276" t="s">
        <v>178</v>
      </c>
    </row>
    <row r="277" spans="1:20">
      <c r="A277">
        <v>29</v>
      </c>
      <c r="B277" t="s">
        <v>43</v>
      </c>
      <c r="C277" t="s">
        <v>12</v>
      </c>
      <c r="D277">
        <v>3</v>
      </c>
      <c r="E277">
        <v>82</v>
      </c>
      <c r="F277">
        <v>76</v>
      </c>
      <c r="G277">
        <v>75</v>
      </c>
      <c r="H277">
        <v>80</v>
      </c>
      <c r="I277" t="s">
        <v>16</v>
      </c>
      <c r="J277">
        <v>7</v>
      </c>
      <c r="K277">
        <v>4</v>
      </c>
      <c r="L277">
        <v>231</v>
      </c>
      <c r="M277">
        <v>77</v>
      </c>
      <c r="N277" t="s">
        <v>199</v>
      </c>
      <c r="O277">
        <v>25.666666666666668</v>
      </c>
      <c r="P277" t="s">
        <v>16</v>
      </c>
      <c r="Q277" t="s">
        <v>212</v>
      </c>
      <c r="R277" t="s">
        <v>215</v>
      </c>
      <c r="S277" t="s">
        <v>195</v>
      </c>
      <c r="T277" t="s">
        <v>179</v>
      </c>
    </row>
    <row r="278" spans="1:20">
      <c r="A278">
        <v>31</v>
      </c>
      <c r="B278" t="s">
        <v>45</v>
      </c>
      <c r="C278" t="s">
        <v>12</v>
      </c>
      <c r="D278">
        <v>2</v>
      </c>
      <c r="E278">
        <v>68</v>
      </c>
      <c r="F278">
        <v>60</v>
      </c>
      <c r="G278">
        <v>58</v>
      </c>
      <c r="H278">
        <v>63</v>
      </c>
      <c r="I278" t="s">
        <v>16</v>
      </c>
      <c r="J278">
        <v>8</v>
      </c>
      <c r="K278">
        <v>5</v>
      </c>
      <c r="L278">
        <v>181</v>
      </c>
      <c r="M278">
        <v>60.333333333333336</v>
      </c>
      <c r="N278" t="s">
        <v>199</v>
      </c>
      <c r="O278">
        <v>30.166666666666668</v>
      </c>
      <c r="P278" t="s">
        <v>16</v>
      </c>
      <c r="Q278" t="s">
        <v>212</v>
      </c>
      <c r="R278" t="s">
        <v>215</v>
      </c>
      <c r="S278" t="s">
        <v>196</v>
      </c>
      <c r="T278" t="s">
        <v>178</v>
      </c>
    </row>
    <row r="279" spans="1:20">
      <c r="A279">
        <v>34</v>
      </c>
      <c r="B279" t="s">
        <v>48</v>
      </c>
      <c r="C279" t="s">
        <v>15</v>
      </c>
      <c r="D279">
        <v>3</v>
      </c>
      <c r="E279">
        <v>79</v>
      </c>
      <c r="F279">
        <v>74</v>
      </c>
      <c r="G279">
        <v>72</v>
      </c>
      <c r="H279">
        <v>76</v>
      </c>
      <c r="I279" t="s">
        <v>13</v>
      </c>
      <c r="J279">
        <v>7</v>
      </c>
      <c r="K279">
        <v>4</v>
      </c>
      <c r="L279">
        <v>222</v>
      </c>
      <c r="M279">
        <v>74</v>
      </c>
      <c r="N279" t="s">
        <v>199</v>
      </c>
      <c r="O279">
        <v>24.666666666666668</v>
      </c>
      <c r="P279" t="s">
        <v>16</v>
      </c>
      <c r="Q279" t="s">
        <v>212</v>
      </c>
      <c r="R279" t="s">
        <v>215</v>
      </c>
      <c r="S279" t="s">
        <v>196</v>
      </c>
      <c r="T279" t="s">
        <v>179</v>
      </c>
    </row>
    <row r="280" spans="1:20">
      <c r="A280">
        <v>35</v>
      </c>
      <c r="B280" t="s">
        <v>49</v>
      </c>
      <c r="C280" t="s">
        <v>12</v>
      </c>
      <c r="D280">
        <v>2</v>
      </c>
      <c r="E280">
        <v>72</v>
      </c>
      <c r="F280">
        <v>65</v>
      </c>
      <c r="G280">
        <v>64</v>
      </c>
      <c r="H280">
        <v>68</v>
      </c>
      <c r="I280" t="s">
        <v>16</v>
      </c>
      <c r="J280">
        <v>8</v>
      </c>
      <c r="K280">
        <v>5</v>
      </c>
      <c r="L280">
        <v>197</v>
      </c>
      <c r="M280">
        <v>65.666666666666671</v>
      </c>
      <c r="N280" t="s">
        <v>199</v>
      </c>
      <c r="O280">
        <v>32.833333333333336</v>
      </c>
      <c r="P280" t="s">
        <v>16</v>
      </c>
      <c r="Q280" t="s">
        <v>212</v>
      </c>
      <c r="R280" t="s">
        <v>215</v>
      </c>
      <c r="S280" t="s">
        <v>196</v>
      </c>
      <c r="T280" t="s">
        <v>178</v>
      </c>
    </row>
    <row r="281" spans="1:20">
      <c r="A281">
        <v>37</v>
      </c>
      <c r="B281" t="s">
        <v>51</v>
      </c>
      <c r="C281" t="s">
        <v>12</v>
      </c>
      <c r="D281">
        <v>3</v>
      </c>
      <c r="E281">
        <v>80</v>
      </c>
      <c r="F281">
        <v>75</v>
      </c>
      <c r="G281">
        <v>73</v>
      </c>
      <c r="H281">
        <v>78</v>
      </c>
      <c r="I281" t="s">
        <v>13</v>
      </c>
      <c r="J281">
        <v>7</v>
      </c>
      <c r="K281">
        <v>4</v>
      </c>
      <c r="L281">
        <v>226</v>
      </c>
      <c r="M281">
        <v>75.333333333333329</v>
      </c>
      <c r="N281" t="s">
        <v>199</v>
      </c>
      <c r="O281">
        <v>25.111111111111111</v>
      </c>
      <c r="P281" t="s">
        <v>16</v>
      </c>
      <c r="Q281" t="s">
        <v>212</v>
      </c>
      <c r="R281" t="s">
        <v>215</v>
      </c>
      <c r="S281" t="s">
        <v>195</v>
      </c>
      <c r="T281" t="s">
        <v>179</v>
      </c>
    </row>
    <row r="282" spans="1:20">
      <c r="A282">
        <v>41</v>
      </c>
      <c r="B282" t="s">
        <v>55</v>
      </c>
      <c r="C282" t="s">
        <v>12</v>
      </c>
      <c r="D282">
        <v>3</v>
      </c>
      <c r="E282">
        <v>78</v>
      </c>
      <c r="F282">
        <v>72</v>
      </c>
      <c r="G282">
        <v>70</v>
      </c>
      <c r="H282">
        <v>75</v>
      </c>
      <c r="I282" t="s">
        <v>13</v>
      </c>
      <c r="J282">
        <v>7</v>
      </c>
      <c r="K282">
        <v>4</v>
      </c>
      <c r="L282">
        <v>217</v>
      </c>
      <c r="M282">
        <v>72.333333333333329</v>
      </c>
      <c r="N282" t="s">
        <v>199</v>
      </c>
      <c r="O282">
        <v>24.111111111111111</v>
      </c>
      <c r="P282" t="s">
        <v>16</v>
      </c>
      <c r="Q282" t="s">
        <v>212</v>
      </c>
      <c r="R282" t="s">
        <v>215</v>
      </c>
      <c r="S282" t="s">
        <v>196</v>
      </c>
      <c r="T282" t="s">
        <v>179</v>
      </c>
    </row>
    <row r="283" spans="1:20">
      <c r="A283">
        <v>43</v>
      </c>
      <c r="B283" t="s">
        <v>57</v>
      </c>
      <c r="C283" t="s">
        <v>12</v>
      </c>
      <c r="D283">
        <v>2</v>
      </c>
      <c r="E283">
        <v>70</v>
      </c>
      <c r="F283">
        <v>63</v>
      </c>
      <c r="G283">
        <v>60</v>
      </c>
      <c r="H283">
        <v>66</v>
      </c>
      <c r="I283" t="s">
        <v>13</v>
      </c>
      <c r="J283">
        <v>8</v>
      </c>
      <c r="K283">
        <v>5</v>
      </c>
      <c r="L283">
        <v>189</v>
      </c>
      <c r="M283">
        <v>63</v>
      </c>
      <c r="N283" t="s">
        <v>199</v>
      </c>
      <c r="O283">
        <v>31.5</v>
      </c>
      <c r="P283" t="s">
        <v>16</v>
      </c>
      <c r="Q283" t="s">
        <v>212</v>
      </c>
      <c r="R283" t="s">
        <v>215</v>
      </c>
      <c r="S283" t="s">
        <v>196</v>
      </c>
      <c r="T283" t="s">
        <v>178</v>
      </c>
    </row>
    <row r="284" spans="1:20">
      <c r="A284">
        <v>45</v>
      </c>
      <c r="B284" t="s">
        <v>59</v>
      </c>
      <c r="C284" t="s">
        <v>12</v>
      </c>
      <c r="D284">
        <v>3</v>
      </c>
      <c r="E284">
        <v>82</v>
      </c>
      <c r="F284">
        <v>76</v>
      </c>
      <c r="G284">
        <v>75</v>
      </c>
      <c r="H284">
        <v>79</v>
      </c>
      <c r="I284" t="s">
        <v>16</v>
      </c>
      <c r="J284">
        <v>7</v>
      </c>
      <c r="K284">
        <v>4</v>
      </c>
      <c r="L284">
        <v>230</v>
      </c>
      <c r="M284">
        <v>76.666666666666671</v>
      </c>
      <c r="N284" t="s">
        <v>199</v>
      </c>
      <c r="O284">
        <v>25.555555555555557</v>
      </c>
      <c r="P284" t="s">
        <v>16</v>
      </c>
      <c r="Q284" t="s">
        <v>212</v>
      </c>
      <c r="R284" t="s">
        <v>215</v>
      </c>
      <c r="S284" t="s">
        <v>195</v>
      </c>
      <c r="T284" t="s">
        <v>179</v>
      </c>
    </row>
    <row r="285" spans="1:20">
      <c r="A285">
        <v>47</v>
      </c>
      <c r="B285" t="s">
        <v>61</v>
      </c>
      <c r="C285" t="s">
        <v>12</v>
      </c>
      <c r="D285">
        <v>2</v>
      </c>
      <c r="E285">
        <v>68</v>
      </c>
      <c r="F285">
        <v>60</v>
      </c>
      <c r="G285">
        <v>58</v>
      </c>
      <c r="H285">
        <v>64</v>
      </c>
      <c r="I285" t="s">
        <v>16</v>
      </c>
      <c r="J285">
        <v>8</v>
      </c>
      <c r="K285">
        <v>5</v>
      </c>
      <c r="L285">
        <v>182</v>
      </c>
      <c r="M285">
        <v>60.666666666666664</v>
      </c>
      <c r="N285" t="s">
        <v>199</v>
      </c>
      <c r="O285">
        <v>30.333333333333332</v>
      </c>
      <c r="P285" t="s">
        <v>16</v>
      </c>
      <c r="Q285" t="s">
        <v>212</v>
      </c>
      <c r="R285" t="s">
        <v>215</v>
      </c>
      <c r="S285" t="s">
        <v>196</v>
      </c>
      <c r="T285" t="s">
        <v>178</v>
      </c>
    </row>
    <row r="286" spans="1:20">
      <c r="A286">
        <v>50</v>
      </c>
      <c r="B286" t="s">
        <v>64</v>
      </c>
      <c r="C286" t="s">
        <v>15</v>
      </c>
      <c r="D286">
        <v>3</v>
      </c>
      <c r="E286">
        <v>79</v>
      </c>
      <c r="F286">
        <v>74</v>
      </c>
      <c r="G286">
        <v>72</v>
      </c>
      <c r="H286">
        <v>77</v>
      </c>
      <c r="I286" t="s">
        <v>13</v>
      </c>
      <c r="J286">
        <v>7</v>
      </c>
      <c r="K286">
        <v>4</v>
      </c>
      <c r="L286">
        <v>223</v>
      </c>
      <c r="M286">
        <v>74.333333333333329</v>
      </c>
      <c r="N286" t="s">
        <v>199</v>
      </c>
      <c r="O286">
        <v>24.777777777777775</v>
      </c>
      <c r="P286" t="s">
        <v>16</v>
      </c>
      <c r="Q286" t="s">
        <v>212</v>
      </c>
      <c r="R286" t="s">
        <v>215</v>
      </c>
      <c r="S286" t="s">
        <v>196</v>
      </c>
      <c r="T286" t="s">
        <v>179</v>
      </c>
    </row>
    <row r="287" spans="1:20">
      <c r="A287">
        <v>51</v>
      </c>
      <c r="B287" t="s">
        <v>65</v>
      </c>
      <c r="C287" t="s">
        <v>12</v>
      </c>
      <c r="D287">
        <v>3</v>
      </c>
      <c r="E287">
        <v>85</v>
      </c>
      <c r="F287">
        <v>78</v>
      </c>
      <c r="G287">
        <v>72</v>
      </c>
      <c r="H287">
        <v>80</v>
      </c>
      <c r="I287" t="s">
        <v>13</v>
      </c>
      <c r="J287">
        <v>7</v>
      </c>
      <c r="K287">
        <v>3</v>
      </c>
      <c r="L287">
        <v>230</v>
      </c>
      <c r="M287">
        <v>76.666666666666671</v>
      </c>
      <c r="N287" t="s">
        <v>199</v>
      </c>
      <c r="O287">
        <v>25.555555555555557</v>
      </c>
      <c r="P287" t="s">
        <v>16</v>
      </c>
      <c r="Q287" t="s">
        <v>212</v>
      </c>
      <c r="R287" t="s">
        <v>215</v>
      </c>
      <c r="S287" t="s">
        <v>195</v>
      </c>
      <c r="T287" t="s">
        <v>179</v>
      </c>
    </row>
    <row r="288" spans="1:20">
      <c r="A288">
        <v>55</v>
      </c>
      <c r="B288" t="s">
        <v>72</v>
      </c>
      <c r="C288" t="s">
        <v>12</v>
      </c>
      <c r="D288">
        <v>2</v>
      </c>
      <c r="E288">
        <v>75</v>
      </c>
      <c r="F288">
        <v>65</v>
      </c>
      <c r="G288">
        <v>60</v>
      </c>
      <c r="H288">
        <v>68</v>
      </c>
      <c r="I288" t="s">
        <v>16</v>
      </c>
      <c r="J288">
        <v>8</v>
      </c>
      <c r="K288">
        <v>5</v>
      </c>
      <c r="L288">
        <v>193</v>
      </c>
      <c r="M288">
        <v>64.333333333333329</v>
      </c>
      <c r="N288" t="s">
        <v>199</v>
      </c>
      <c r="O288">
        <v>32.166666666666664</v>
      </c>
      <c r="P288" t="s">
        <v>16</v>
      </c>
      <c r="Q288" t="s">
        <v>212</v>
      </c>
      <c r="R288" t="s">
        <v>215</v>
      </c>
      <c r="S288" t="s">
        <v>196</v>
      </c>
      <c r="T288" t="s">
        <v>178</v>
      </c>
    </row>
    <row r="289" spans="1:20">
      <c r="A289">
        <v>56</v>
      </c>
      <c r="B289" t="s">
        <v>73</v>
      </c>
      <c r="C289" t="s">
        <v>12</v>
      </c>
      <c r="D289">
        <v>3</v>
      </c>
      <c r="E289">
        <v>80</v>
      </c>
      <c r="F289">
        <v>75</v>
      </c>
      <c r="G289">
        <v>72</v>
      </c>
      <c r="H289">
        <v>78</v>
      </c>
      <c r="I289" t="s">
        <v>13</v>
      </c>
      <c r="J289">
        <v>7</v>
      </c>
      <c r="K289">
        <v>4</v>
      </c>
      <c r="L289">
        <v>225</v>
      </c>
      <c r="M289">
        <v>75</v>
      </c>
      <c r="N289" t="s">
        <v>199</v>
      </c>
      <c r="O289">
        <v>25</v>
      </c>
      <c r="P289" t="s">
        <v>16</v>
      </c>
      <c r="Q289" t="s">
        <v>212</v>
      </c>
      <c r="R289" t="s">
        <v>215</v>
      </c>
      <c r="S289" t="s">
        <v>195</v>
      </c>
      <c r="T289" t="s">
        <v>179</v>
      </c>
    </row>
    <row r="290" spans="1:20">
      <c r="A290">
        <v>61</v>
      </c>
      <c r="B290" t="s">
        <v>76</v>
      </c>
      <c r="C290" t="s">
        <v>15</v>
      </c>
      <c r="D290">
        <v>3</v>
      </c>
      <c r="E290">
        <v>78</v>
      </c>
      <c r="F290">
        <v>72</v>
      </c>
      <c r="G290">
        <v>70</v>
      </c>
      <c r="H290">
        <v>75</v>
      </c>
      <c r="I290" t="s">
        <v>13</v>
      </c>
      <c r="J290">
        <v>7</v>
      </c>
      <c r="K290">
        <v>4</v>
      </c>
      <c r="L290">
        <v>217</v>
      </c>
      <c r="M290">
        <v>72.333333333333329</v>
      </c>
      <c r="N290" t="s">
        <v>199</v>
      </c>
      <c r="O290">
        <v>24.111111111111111</v>
      </c>
      <c r="P290" t="s">
        <v>16</v>
      </c>
      <c r="Q290" t="s">
        <v>212</v>
      </c>
      <c r="R290" t="s">
        <v>215</v>
      </c>
      <c r="S290" t="s">
        <v>196</v>
      </c>
      <c r="T290" t="s">
        <v>179</v>
      </c>
    </row>
    <row r="291" spans="1:20">
      <c r="A291">
        <v>62</v>
      </c>
      <c r="B291" t="s">
        <v>77</v>
      </c>
      <c r="C291" t="s">
        <v>15</v>
      </c>
      <c r="D291">
        <v>0</v>
      </c>
      <c r="E291">
        <v>82</v>
      </c>
      <c r="F291">
        <v>78</v>
      </c>
      <c r="G291">
        <v>76</v>
      </c>
      <c r="H291">
        <v>80</v>
      </c>
      <c r="I291" t="s">
        <v>13</v>
      </c>
      <c r="J291">
        <v>7</v>
      </c>
      <c r="K291">
        <v>3</v>
      </c>
      <c r="L291">
        <v>234</v>
      </c>
      <c r="M291">
        <v>78</v>
      </c>
      <c r="N291" t="s">
        <v>199</v>
      </c>
      <c r="O291">
        <v>0</v>
      </c>
      <c r="P291" t="s">
        <v>16</v>
      </c>
      <c r="Q291" t="s">
        <v>212</v>
      </c>
      <c r="R291" t="s">
        <v>215</v>
      </c>
      <c r="S291" t="s">
        <v>195</v>
      </c>
      <c r="T291" t="s">
        <v>179</v>
      </c>
    </row>
    <row r="292" spans="1:20">
      <c r="A292">
        <v>63</v>
      </c>
      <c r="B292" t="s">
        <v>78</v>
      </c>
      <c r="C292" t="s">
        <v>12</v>
      </c>
      <c r="D292">
        <v>2</v>
      </c>
      <c r="E292">
        <v>70</v>
      </c>
      <c r="F292">
        <v>65</v>
      </c>
      <c r="G292">
        <v>60</v>
      </c>
      <c r="H292">
        <v>66</v>
      </c>
      <c r="I292" t="s">
        <v>16</v>
      </c>
      <c r="J292">
        <v>8</v>
      </c>
      <c r="K292">
        <v>5</v>
      </c>
      <c r="L292">
        <v>191</v>
      </c>
      <c r="M292">
        <v>63.666666666666664</v>
      </c>
      <c r="N292" t="s">
        <v>199</v>
      </c>
      <c r="O292">
        <v>31.833333333333332</v>
      </c>
      <c r="P292" t="s">
        <v>16</v>
      </c>
      <c r="Q292" t="s">
        <v>212</v>
      </c>
      <c r="R292" t="s">
        <v>215</v>
      </c>
      <c r="S292" t="s">
        <v>196</v>
      </c>
      <c r="T292" t="s">
        <v>178</v>
      </c>
    </row>
    <row r="293" spans="1:20">
      <c r="A293">
        <v>64</v>
      </c>
      <c r="B293" t="s">
        <v>79</v>
      </c>
      <c r="C293" t="s">
        <v>12</v>
      </c>
      <c r="D293">
        <v>3</v>
      </c>
      <c r="E293">
        <v>79</v>
      </c>
      <c r="F293">
        <v>74</v>
      </c>
      <c r="G293">
        <v>72</v>
      </c>
      <c r="H293">
        <v>77</v>
      </c>
      <c r="I293" t="s">
        <v>13</v>
      </c>
      <c r="J293">
        <v>7</v>
      </c>
      <c r="K293">
        <v>0</v>
      </c>
      <c r="L293">
        <v>223</v>
      </c>
      <c r="M293">
        <v>74.333333333333329</v>
      </c>
      <c r="N293" t="s">
        <v>199</v>
      </c>
      <c r="O293">
        <v>24.777777777777775</v>
      </c>
      <c r="P293" t="s">
        <v>16</v>
      </c>
      <c r="Q293" t="s">
        <v>212</v>
      </c>
      <c r="R293" t="s">
        <v>215</v>
      </c>
      <c r="S293" t="s">
        <v>196</v>
      </c>
      <c r="T293" t="s">
        <v>179</v>
      </c>
    </row>
    <row r="294" spans="1:20">
      <c r="A294">
        <v>69</v>
      </c>
      <c r="B294" t="s">
        <v>83</v>
      </c>
      <c r="C294" t="s">
        <v>15</v>
      </c>
      <c r="D294">
        <v>2</v>
      </c>
      <c r="E294">
        <v>72</v>
      </c>
      <c r="F294">
        <v>65</v>
      </c>
      <c r="G294">
        <v>63</v>
      </c>
      <c r="H294">
        <v>68</v>
      </c>
      <c r="I294" t="s">
        <v>13</v>
      </c>
      <c r="J294">
        <v>8</v>
      </c>
      <c r="K294">
        <v>5</v>
      </c>
      <c r="L294">
        <v>196</v>
      </c>
      <c r="M294">
        <v>65.333333333333329</v>
      </c>
      <c r="N294" t="s">
        <v>199</v>
      </c>
      <c r="O294">
        <v>32.666666666666664</v>
      </c>
      <c r="P294" t="s">
        <v>16</v>
      </c>
      <c r="Q294" t="s">
        <v>212</v>
      </c>
      <c r="R294" t="s">
        <v>215</v>
      </c>
      <c r="S294" t="s">
        <v>196</v>
      </c>
      <c r="T294" t="s">
        <v>178</v>
      </c>
    </row>
    <row r="295" spans="1:20">
      <c r="A295">
        <v>71</v>
      </c>
      <c r="B295" t="s">
        <v>85</v>
      </c>
      <c r="C295" t="s">
        <v>12</v>
      </c>
      <c r="D295">
        <v>3</v>
      </c>
      <c r="E295">
        <v>80</v>
      </c>
      <c r="F295">
        <v>75</v>
      </c>
      <c r="G295">
        <v>73</v>
      </c>
      <c r="H295">
        <v>78</v>
      </c>
      <c r="I295" t="s">
        <v>16</v>
      </c>
      <c r="J295">
        <v>7</v>
      </c>
      <c r="K295">
        <v>4</v>
      </c>
      <c r="L295">
        <v>226</v>
      </c>
      <c r="M295">
        <v>75.333333333333329</v>
      </c>
      <c r="N295" t="s">
        <v>199</v>
      </c>
      <c r="O295">
        <v>25.111111111111111</v>
      </c>
      <c r="P295" t="s">
        <v>16</v>
      </c>
      <c r="Q295" t="s">
        <v>212</v>
      </c>
      <c r="R295" t="s">
        <v>215</v>
      </c>
      <c r="S295" t="s">
        <v>195</v>
      </c>
      <c r="T295" t="s">
        <v>179</v>
      </c>
    </row>
    <row r="296" spans="1:20">
      <c r="A296">
        <v>73</v>
      </c>
      <c r="B296" t="s">
        <v>87</v>
      </c>
      <c r="C296" t="s">
        <v>12</v>
      </c>
      <c r="D296">
        <v>2</v>
      </c>
      <c r="E296">
        <v>68</v>
      </c>
      <c r="F296">
        <v>60</v>
      </c>
      <c r="G296">
        <v>58</v>
      </c>
      <c r="H296">
        <v>64</v>
      </c>
      <c r="I296" t="s">
        <v>16</v>
      </c>
      <c r="J296">
        <v>8</v>
      </c>
      <c r="K296">
        <v>5</v>
      </c>
      <c r="L296">
        <v>182</v>
      </c>
      <c r="M296">
        <v>60.666666666666664</v>
      </c>
      <c r="N296" t="s">
        <v>199</v>
      </c>
      <c r="O296">
        <v>30.333333333333332</v>
      </c>
      <c r="P296" t="s">
        <v>16</v>
      </c>
      <c r="Q296" t="s">
        <v>212</v>
      </c>
      <c r="R296" t="s">
        <v>215</v>
      </c>
      <c r="S296" t="s">
        <v>196</v>
      </c>
      <c r="T296" t="s">
        <v>178</v>
      </c>
    </row>
    <row r="297" spans="1:20">
      <c r="A297">
        <v>77</v>
      </c>
      <c r="B297" t="s">
        <v>91</v>
      </c>
      <c r="C297" t="s">
        <v>15</v>
      </c>
      <c r="D297">
        <v>3</v>
      </c>
      <c r="E297">
        <v>79</v>
      </c>
      <c r="F297">
        <v>74</v>
      </c>
      <c r="G297">
        <v>72</v>
      </c>
      <c r="H297">
        <v>76</v>
      </c>
      <c r="I297" t="s">
        <v>13</v>
      </c>
      <c r="J297">
        <v>7</v>
      </c>
      <c r="K297">
        <v>4</v>
      </c>
      <c r="L297">
        <v>222</v>
      </c>
      <c r="M297">
        <v>74</v>
      </c>
      <c r="N297" t="s">
        <v>199</v>
      </c>
      <c r="O297">
        <v>24.666666666666668</v>
      </c>
      <c r="P297" t="s">
        <v>16</v>
      </c>
      <c r="Q297" t="s">
        <v>212</v>
      </c>
      <c r="R297" t="s">
        <v>215</v>
      </c>
      <c r="S297" t="s">
        <v>196</v>
      </c>
      <c r="T297" t="s">
        <v>179</v>
      </c>
    </row>
    <row r="298" spans="1:20">
      <c r="A298">
        <v>78</v>
      </c>
      <c r="B298" t="s">
        <v>92</v>
      </c>
      <c r="C298" t="s">
        <v>12</v>
      </c>
      <c r="D298">
        <v>2</v>
      </c>
      <c r="E298">
        <v>70</v>
      </c>
      <c r="F298">
        <v>63</v>
      </c>
      <c r="G298">
        <v>60</v>
      </c>
      <c r="H298">
        <v>66</v>
      </c>
      <c r="I298" t="s">
        <v>13</v>
      </c>
      <c r="J298">
        <v>8</v>
      </c>
      <c r="K298">
        <v>5</v>
      </c>
      <c r="L298">
        <v>189</v>
      </c>
      <c r="M298">
        <v>63</v>
      </c>
      <c r="N298" t="s">
        <v>199</v>
      </c>
      <c r="O298">
        <v>31.5</v>
      </c>
      <c r="P298" t="s">
        <v>16</v>
      </c>
      <c r="Q298" t="s">
        <v>212</v>
      </c>
      <c r="R298" t="s">
        <v>215</v>
      </c>
      <c r="S298" t="s">
        <v>196</v>
      </c>
      <c r="T298" t="s">
        <v>178</v>
      </c>
    </row>
    <row r="299" spans="1:20">
      <c r="A299">
        <v>80</v>
      </c>
      <c r="B299" t="s">
        <v>94</v>
      </c>
      <c r="C299" t="s">
        <v>12</v>
      </c>
      <c r="D299">
        <v>3</v>
      </c>
      <c r="E299">
        <v>82</v>
      </c>
      <c r="F299">
        <v>76</v>
      </c>
      <c r="G299">
        <v>75</v>
      </c>
      <c r="H299">
        <v>79</v>
      </c>
      <c r="I299" t="s">
        <v>16</v>
      </c>
      <c r="J299">
        <v>7</v>
      </c>
      <c r="K299">
        <v>4</v>
      </c>
      <c r="L299">
        <v>230</v>
      </c>
      <c r="M299">
        <v>76.666666666666671</v>
      </c>
      <c r="N299" t="s">
        <v>199</v>
      </c>
      <c r="O299">
        <v>25.555555555555557</v>
      </c>
      <c r="P299" t="s">
        <v>16</v>
      </c>
      <c r="Q299" t="s">
        <v>212</v>
      </c>
      <c r="R299" t="s">
        <v>215</v>
      </c>
      <c r="S299" t="s">
        <v>195</v>
      </c>
      <c r="T299" t="s">
        <v>179</v>
      </c>
    </row>
    <row r="300" spans="1:20">
      <c r="A300">
        <v>82</v>
      </c>
      <c r="B300" t="s">
        <v>96</v>
      </c>
      <c r="C300" t="s">
        <v>12</v>
      </c>
      <c r="D300">
        <v>2</v>
      </c>
      <c r="E300">
        <v>68</v>
      </c>
      <c r="F300">
        <v>60</v>
      </c>
      <c r="G300">
        <v>58</v>
      </c>
      <c r="H300">
        <v>63</v>
      </c>
      <c r="I300" t="s">
        <v>16</v>
      </c>
      <c r="J300">
        <v>8</v>
      </c>
      <c r="K300">
        <v>5</v>
      </c>
      <c r="L300">
        <v>181</v>
      </c>
      <c r="M300">
        <v>60.333333333333336</v>
      </c>
      <c r="N300" t="s">
        <v>199</v>
      </c>
      <c r="O300">
        <v>30.166666666666668</v>
      </c>
      <c r="P300" t="s">
        <v>16</v>
      </c>
      <c r="Q300" t="s">
        <v>212</v>
      </c>
      <c r="R300" t="s">
        <v>215</v>
      </c>
      <c r="S300" t="s">
        <v>196</v>
      </c>
      <c r="T300" t="s">
        <v>178</v>
      </c>
    </row>
    <row r="301" spans="1:20">
      <c r="A301">
        <v>84</v>
      </c>
      <c r="B301" t="s">
        <v>98</v>
      </c>
      <c r="C301" t="s">
        <v>15</v>
      </c>
      <c r="D301">
        <v>3</v>
      </c>
      <c r="E301">
        <v>78</v>
      </c>
      <c r="F301">
        <v>72</v>
      </c>
      <c r="G301">
        <v>70</v>
      </c>
      <c r="H301">
        <v>75</v>
      </c>
      <c r="I301" t="s">
        <v>13</v>
      </c>
      <c r="J301">
        <v>7</v>
      </c>
      <c r="K301">
        <v>4</v>
      </c>
      <c r="L301">
        <v>217</v>
      </c>
      <c r="M301">
        <v>72.333333333333329</v>
      </c>
      <c r="N301" t="s">
        <v>199</v>
      </c>
      <c r="O301">
        <v>24.111111111111111</v>
      </c>
      <c r="P301" t="s">
        <v>16</v>
      </c>
      <c r="Q301" t="s">
        <v>212</v>
      </c>
      <c r="R301" t="s">
        <v>215</v>
      </c>
      <c r="S301" t="s">
        <v>196</v>
      </c>
      <c r="T301" t="s">
        <v>179</v>
      </c>
    </row>
    <row r="302" spans="1:20">
      <c r="A302">
        <v>87</v>
      </c>
      <c r="B302" t="s">
        <v>101</v>
      </c>
      <c r="C302" t="s">
        <v>12</v>
      </c>
      <c r="D302">
        <v>2</v>
      </c>
      <c r="E302">
        <v>70</v>
      </c>
      <c r="F302">
        <v>62</v>
      </c>
      <c r="G302">
        <v>60</v>
      </c>
      <c r="H302">
        <v>66</v>
      </c>
      <c r="I302" t="s">
        <v>16</v>
      </c>
      <c r="J302">
        <v>8</v>
      </c>
      <c r="K302">
        <v>5</v>
      </c>
      <c r="L302">
        <v>188</v>
      </c>
      <c r="M302">
        <v>62.666666666666664</v>
      </c>
      <c r="N302" t="s">
        <v>199</v>
      </c>
      <c r="O302">
        <v>31.333333333333332</v>
      </c>
      <c r="P302" t="s">
        <v>16</v>
      </c>
      <c r="Q302" t="s">
        <v>212</v>
      </c>
      <c r="R302" t="s">
        <v>215</v>
      </c>
      <c r="S302" t="s">
        <v>196</v>
      </c>
      <c r="T302" t="s">
        <v>178</v>
      </c>
    </row>
    <row r="303" spans="1:20">
      <c r="A303">
        <v>89</v>
      </c>
      <c r="B303" t="s">
        <v>103</v>
      </c>
      <c r="C303" t="s">
        <v>12</v>
      </c>
      <c r="D303">
        <v>3</v>
      </c>
      <c r="E303">
        <v>82</v>
      </c>
      <c r="F303">
        <v>76</v>
      </c>
      <c r="G303">
        <v>75</v>
      </c>
      <c r="H303">
        <v>80</v>
      </c>
      <c r="I303" t="s">
        <v>16</v>
      </c>
      <c r="J303">
        <v>7</v>
      </c>
      <c r="K303">
        <v>4</v>
      </c>
      <c r="L303">
        <v>231</v>
      </c>
      <c r="M303">
        <v>77</v>
      </c>
      <c r="N303" t="s">
        <v>199</v>
      </c>
      <c r="O303">
        <v>25.666666666666668</v>
      </c>
      <c r="P303" t="s">
        <v>16</v>
      </c>
      <c r="Q303" t="s">
        <v>212</v>
      </c>
      <c r="R303" t="s">
        <v>215</v>
      </c>
      <c r="S303" t="s">
        <v>195</v>
      </c>
      <c r="T303" t="s">
        <v>179</v>
      </c>
    </row>
    <row r="304" spans="1:20">
      <c r="A304">
        <v>91</v>
      </c>
      <c r="B304" t="s">
        <v>105</v>
      </c>
      <c r="C304" t="s">
        <v>12</v>
      </c>
      <c r="D304">
        <v>2</v>
      </c>
      <c r="E304">
        <v>68</v>
      </c>
      <c r="F304">
        <v>60</v>
      </c>
      <c r="G304">
        <v>58</v>
      </c>
      <c r="H304">
        <v>64</v>
      </c>
      <c r="I304" t="s">
        <v>16</v>
      </c>
      <c r="J304">
        <v>8</v>
      </c>
      <c r="K304">
        <v>5</v>
      </c>
      <c r="L304">
        <v>182</v>
      </c>
      <c r="M304">
        <v>60.666666666666664</v>
      </c>
      <c r="N304" t="s">
        <v>199</v>
      </c>
      <c r="O304">
        <v>30.333333333333332</v>
      </c>
      <c r="P304" t="s">
        <v>16</v>
      </c>
      <c r="Q304" t="s">
        <v>212</v>
      </c>
      <c r="R304" t="s">
        <v>215</v>
      </c>
      <c r="S304" t="s">
        <v>196</v>
      </c>
      <c r="T304" t="s">
        <v>178</v>
      </c>
    </row>
    <row r="305" spans="1:20">
      <c r="A305">
        <v>94</v>
      </c>
      <c r="B305" t="s">
        <v>108</v>
      </c>
      <c r="C305" t="s">
        <v>15</v>
      </c>
      <c r="D305">
        <v>3</v>
      </c>
      <c r="E305">
        <v>79</v>
      </c>
      <c r="F305">
        <v>74</v>
      </c>
      <c r="G305">
        <v>72</v>
      </c>
      <c r="H305">
        <v>77</v>
      </c>
      <c r="I305" t="s">
        <v>13</v>
      </c>
      <c r="J305">
        <v>7</v>
      </c>
      <c r="K305">
        <v>4</v>
      </c>
      <c r="L305">
        <v>223</v>
      </c>
      <c r="M305">
        <v>74.333333333333329</v>
      </c>
      <c r="N305" t="s">
        <v>199</v>
      </c>
      <c r="O305">
        <v>24.777777777777775</v>
      </c>
      <c r="P305" t="s">
        <v>16</v>
      </c>
      <c r="Q305" t="s">
        <v>212</v>
      </c>
      <c r="R305" t="s">
        <v>215</v>
      </c>
      <c r="S305" t="s">
        <v>196</v>
      </c>
      <c r="T305" t="s">
        <v>179</v>
      </c>
    </row>
    <row r="306" spans="1:20">
      <c r="A306">
        <v>95</v>
      </c>
      <c r="B306" t="s">
        <v>109</v>
      </c>
      <c r="C306" t="s">
        <v>12</v>
      </c>
      <c r="D306">
        <v>2</v>
      </c>
      <c r="E306">
        <v>72</v>
      </c>
      <c r="F306">
        <v>65</v>
      </c>
      <c r="G306">
        <v>64</v>
      </c>
      <c r="H306">
        <v>68</v>
      </c>
      <c r="I306" t="s">
        <v>16</v>
      </c>
      <c r="J306">
        <v>8</v>
      </c>
      <c r="K306">
        <v>5</v>
      </c>
      <c r="L306">
        <v>197</v>
      </c>
      <c r="M306">
        <v>65.666666666666671</v>
      </c>
      <c r="N306" t="s">
        <v>199</v>
      </c>
      <c r="O306">
        <v>32.833333333333336</v>
      </c>
      <c r="P306" t="s">
        <v>16</v>
      </c>
      <c r="Q306" t="s">
        <v>212</v>
      </c>
      <c r="R306" t="s">
        <v>215</v>
      </c>
      <c r="S306" t="s">
        <v>196</v>
      </c>
      <c r="T306" t="s">
        <v>178</v>
      </c>
    </row>
    <row r="307" spans="1:20">
      <c r="A307">
        <v>97</v>
      </c>
      <c r="B307" t="s">
        <v>111</v>
      </c>
      <c r="C307" t="s">
        <v>12</v>
      </c>
      <c r="D307">
        <v>3</v>
      </c>
      <c r="E307">
        <v>80</v>
      </c>
      <c r="F307">
        <v>75</v>
      </c>
      <c r="G307">
        <v>73</v>
      </c>
      <c r="H307">
        <v>78</v>
      </c>
      <c r="I307" t="s">
        <v>13</v>
      </c>
      <c r="J307">
        <v>7</v>
      </c>
      <c r="K307">
        <v>4</v>
      </c>
      <c r="L307">
        <v>226</v>
      </c>
      <c r="M307">
        <v>75.333333333333329</v>
      </c>
      <c r="N307" t="s">
        <v>199</v>
      </c>
      <c r="O307">
        <v>25.111111111111111</v>
      </c>
      <c r="P307" t="s">
        <v>16</v>
      </c>
      <c r="Q307" t="s">
        <v>212</v>
      </c>
      <c r="R307" t="s">
        <v>215</v>
      </c>
      <c r="S307" t="s">
        <v>195</v>
      </c>
      <c r="T307" t="s">
        <v>179</v>
      </c>
    </row>
    <row r="308" spans="1:20">
      <c r="A308">
        <v>101</v>
      </c>
      <c r="B308" t="s">
        <v>65</v>
      </c>
      <c r="C308" t="s">
        <v>12</v>
      </c>
      <c r="D308">
        <v>3</v>
      </c>
      <c r="E308">
        <v>85</v>
      </c>
      <c r="F308">
        <v>78</v>
      </c>
      <c r="G308">
        <v>72</v>
      </c>
      <c r="H308">
        <v>80</v>
      </c>
      <c r="I308" t="s">
        <v>13</v>
      </c>
      <c r="J308">
        <v>7</v>
      </c>
      <c r="K308">
        <v>3</v>
      </c>
      <c r="L308">
        <v>230</v>
      </c>
      <c r="M308">
        <v>76.666666666666671</v>
      </c>
      <c r="N308" t="s">
        <v>199</v>
      </c>
      <c r="O308">
        <v>25.555555555555557</v>
      </c>
      <c r="P308" t="s">
        <v>16</v>
      </c>
      <c r="Q308" t="s">
        <v>212</v>
      </c>
      <c r="R308" t="s">
        <v>215</v>
      </c>
      <c r="S308" t="s">
        <v>195</v>
      </c>
      <c r="T308" t="s">
        <v>179</v>
      </c>
    </row>
    <row r="309" spans="1:20">
      <c r="A309">
        <v>106</v>
      </c>
      <c r="B309" t="s">
        <v>118</v>
      </c>
      <c r="C309" t="s">
        <v>12</v>
      </c>
      <c r="D309">
        <v>3</v>
      </c>
      <c r="E309">
        <v>80</v>
      </c>
      <c r="F309">
        <v>75</v>
      </c>
      <c r="G309">
        <v>73</v>
      </c>
      <c r="H309">
        <v>78</v>
      </c>
      <c r="I309" t="s">
        <v>16</v>
      </c>
      <c r="J309">
        <v>7</v>
      </c>
      <c r="K309">
        <v>4</v>
      </c>
      <c r="L309">
        <v>226</v>
      </c>
      <c r="M309">
        <v>75.333333333333329</v>
      </c>
      <c r="N309" t="s">
        <v>199</v>
      </c>
      <c r="O309">
        <v>25.111111111111111</v>
      </c>
      <c r="P309" t="s">
        <v>16</v>
      </c>
      <c r="Q309" t="s">
        <v>212</v>
      </c>
      <c r="R309" t="s">
        <v>215</v>
      </c>
      <c r="S309" t="s">
        <v>195</v>
      </c>
      <c r="T309" t="s">
        <v>179</v>
      </c>
    </row>
    <row r="310" spans="1:20">
      <c r="A310">
        <v>108</v>
      </c>
      <c r="B310" t="s">
        <v>120</v>
      </c>
      <c r="C310" t="s">
        <v>12</v>
      </c>
      <c r="D310">
        <v>2</v>
      </c>
      <c r="E310">
        <v>70</v>
      </c>
      <c r="F310">
        <v>62</v>
      </c>
      <c r="G310">
        <v>60</v>
      </c>
      <c r="H310">
        <v>66</v>
      </c>
      <c r="I310" t="s">
        <v>16</v>
      </c>
      <c r="J310">
        <v>8</v>
      </c>
      <c r="K310">
        <v>5</v>
      </c>
      <c r="L310">
        <v>188</v>
      </c>
      <c r="M310">
        <v>62.666666666666664</v>
      </c>
      <c r="N310" t="s">
        <v>199</v>
      </c>
      <c r="O310">
        <v>31.333333333333332</v>
      </c>
      <c r="P310" t="s">
        <v>16</v>
      </c>
      <c r="Q310" t="s">
        <v>212</v>
      </c>
      <c r="R310" t="s">
        <v>215</v>
      </c>
      <c r="S310" t="s">
        <v>196</v>
      </c>
      <c r="T310" t="s">
        <v>178</v>
      </c>
    </row>
    <row r="311" spans="1:20">
      <c r="A311">
        <v>110</v>
      </c>
      <c r="B311" t="s">
        <v>122</v>
      </c>
      <c r="C311" t="s">
        <v>12</v>
      </c>
      <c r="D311">
        <v>3</v>
      </c>
      <c r="E311">
        <v>78</v>
      </c>
      <c r="F311">
        <v>72</v>
      </c>
      <c r="G311">
        <v>70</v>
      </c>
      <c r="H311">
        <v>75</v>
      </c>
      <c r="I311" t="s">
        <v>13</v>
      </c>
      <c r="J311">
        <v>7</v>
      </c>
      <c r="K311">
        <v>4</v>
      </c>
      <c r="L311">
        <v>217</v>
      </c>
      <c r="M311">
        <v>72.333333333333329</v>
      </c>
      <c r="N311" t="s">
        <v>199</v>
      </c>
      <c r="O311">
        <v>24.111111111111111</v>
      </c>
      <c r="P311" t="s">
        <v>16</v>
      </c>
      <c r="Q311" t="s">
        <v>212</v>
      </c>
      <c r="R311" t="s">
        <v>215</v>
      </c>
      <c r="S311" t="s">
        <v>196</v>
      </c>
      <c r="T311" t="s">
        <v>179</v>
      </c>
    </row>
    <row r="312" spans="1:20">
      <c r="A312">
        <v>113</v>
      </c>
      <c r="B312" t="s">
        <v>54</v>
      </c>
      <c r="C312" t="s">
        <v>15</v>
      </c>
      <c r="D312">
        <v>3</v>
      </c>
      <c r="E312">
        <v>79</v>
      </c>
      <c r="F312">
        <v>74</v>
      </c>
      <c r="G312">
        <v>72</v>
      </c>
      <c r="H312">
        <v>76</v>
      </c>
      <c r="I312" t="s">
        <v>13</v>
      </c>
      <c r="J312">
        <v>7</v>
      </c>
      <c r="K312">
        <v>4</v>
      </c>
      <c r="L312">
        <v>222</v>
      </c>
      <c r="M312">
        <v>74</v>
      </c>
      <c r="N312" t="s">
        <v>199</v>
      </c>
      <c r="O312">
        <v>24.666666666666668</v>
      </c>
      <c r="P312" t="s">
        <v>16</v>
      </c>
      <c r="Q312" t="s">
        <v>212</v>
      </c>
      <c r="R312" t="s">
        <v>215</v>
      </c>
      <c r="S312" t="s">
        <v>196</v>
      </c>
      <c r="T312" t="s">
        <v>179</v>
      </c>
    </row>
    <row r="313" spans="1:20">
      <c r="A313">
        <v>114</v>
      </c>
      <c r="B313" t="s">
        <v>125</v>
      </c>
      <c r="C313" t="s">
        <v>12</v>
      </c>
      <c r="D313">
        <v>2</v>
      </c>
      <c r="E313">
        <v>72</v>
      </c>
      <c r="F313">
        <v>65</v>
      </c>
      <c r="G313">
        <v>64</v>
      </c>
      <c r="H313">
        <v>68</v>
      </c>
      <c r="I313" t="s">
        <v>16</v>
      </c>
      <c r="J313">
        <v>8</v>
      </c>
      <c r="K313">
        <v>5</v>
      </c>
      <c r="L313">
        <v>197</v>
      </c>
      <c r="M313">
        <v>65.666666666666671</v>
      </c>
      <c r="N313" t="s">
        <v>199</v>
      </c>
      <c r="O313">
        <v>32.833333333333336</v>
      </c>
      <c r="P313" t="s">
        <v>16</v>
      </c>
      <c r="Q313" t="s">
        <v>212</v>
      </c>
      <c r="R313" t="s">
        <v>215</v>
      </c>
      <c r="S313" t="s">
        <v>196</v>
      </c>
      <c r="T313" t="s">
        <v>178</v>
      </c>
    </row>
    <row r="314" spans="1:20">
      <c r="A314">
        <v>117</v>
      </c>
      <c r="B314" t="s">
        <v>128</v>
      </c>
      <c r="C314" t="s">
        <v>12</v>
      </c>
      <c r="D314">
        <v>3</v>
      </c>
      <c r="E314">
        <v>80</v>
      </c>
      <c r="F314">
        <v>75</v>
      </c>
      <c r="G314">
        <v>73</v>
      </c>
      <c r="H314">
        <v>78</v>
      </c>
      <c r="I314" t="s">
        <v>16</v>
      </c>
      <c r="J314">
        <v>7</v>
      </c>
      <c r="K314">
        <v>4</v>
      </c>
      <c r="L314">
        <v>226</v>
      </c>
      <c r="M314">
        <v>75.333333333333329</v>
      </c>
      <c r="N314" t="s">
        <v>199</v>
      </c>
      <c r="O314">
        <v>25.111111111111111</v>
      </c>
      <c r="P314" t="s">
        <v>16</v>
      </c>
      <c r="Q314" t="s">
        <v>212</v>
      </c>
      <c r="R314" t="s">
        <v>215</v>
      </c>
      <c r="S314" t="s">
        <v>195</v>
      </c>
      <c r="T314" t="s">
        <v>179</v>
      </c>
    </row>
    <row r="315" spans="1:20">
      <c r="A315">
        <v>119</v>
      </c>
      <c r="B315" t="s">
        <v>130</v>
      </c>
      <c r="C315" t="s">
        <v>12</v>
      </c>
      <c r="D315">
        <v>2</v>
      </c>
      <c r="E315">
        <v>68</v>
      </c>
      <c r="F315">
        <v>60</v>
      </c>
      <c r="G315">
        <v>58</v>
      </c>
      <c r="H315">
        <v>64</v>
      </c>
      <c r="I315" t="s">
        <v>16</v>
      </c>
      <c r="J315">
        <v>8</v>
      </c>
      <c r="K315">
        <v>5</v>
      </c>
      <c r="L315">
        <v>182</v>
      </c>
      <c r="M315">
        <v>60.666666666666664</v>
      </c>
      <c r="N315" t="s">
        <v>199</v>
      </c>
      <c r="O315">
        <v>30.333333333333332</v>
      </c>
      <c r="P315" t="s">
        <v>16</v>
      </c>
      <c r="Q315" t="s">
        <v>212</v>
      </c>
      <c r="R315" t="s">
        <v>215</v>
      </c>
      <c r="S315" t="s">
        <v>196</v>
      </c>
      <c r="T315" t="s">
        <v>178</v>
      </c>
    </row>
    <row r="316" spans="1:20">
      <c r="A316">
        <v>122</v>
      </c>
      <c r="B316" t="s">
        <v>133</v>
      </c>
      <c r="C316" t="s">
        <v>15</v>
      </c>
      <c r="D316">
        <v>3</v>
      </c>
      <c r="E316">
        <v>78</v>
      </c>
      <c r="F316">
        <v>72</v>
      </c>
      <c r="G316">
        <v>70</v>
      </c>
      <c r="H316">
        <v>75</v>
      </c>
      <c r="I316" t="s">
        <v>13</v>
      </c>
      <c r="J316">
        <v>7</v>
      </c>
      <c r="K316">
        <v>4</v>
      </c>
      <c r="L316">
        <v>217</v>
      </c>
      <c r="M316">
        <v>72.333333333333329</v>
      </c>
      <c r="N316" t="s">
        <v>199</v>
      </c>
      <c r="O316">
        <v>24.111111111111111</v>
      </c>
      <c r="P316" t="s">
        <v>16</v>
      </c>
      <c r="Q316" t="s">
        <v>212</v>
      </c>
      <c r="R316" t="s">
        <v>215</v>
      </c>
      <c r="S316" t="s">
        <v>196</v>
      </c>
      <c r="T316" t="s">
        <v>179</v>
      </c>
    </row>
    <row r="317" spans="1:20">
      <c r="A317">
        <v>125</v>
      </c>
      <c r="B317" t="s">
        <v>135</v>
      </c>
      <c r="C317" t="s">
        <v>12</v>
      </c>
      <c r="D317">
        <v>2</v>
      </c>
      <c r="E317">
        <v>70</v>
      </c>
      <c r="F317">
        <v>62</v>
      </c>
      <c r="G317">
        <v>60</v>
      </c>
      <c r="H317">
        <v>66</v>
      </c>
      <c r="I317" t="s">
        <v>16</v>
      </c>
      <c r="J317">
        <v>8</v>
      </c>
      <c r="K317">
        <v>5</v>
      </c>
      <c r="L317">
        <v>188</v>
      </c>
      <c r="M317">
        <v>62.666666666666664</v>
      </c>
      <c r="N317" t="s">
        <v>199</v>
      </c>
      <c r="O317">
        <v>31.333333333333332</v>
      </c>
      <c r="P317" t="s">
        <v>16</v>
      </c>
      <c r="Q317" t="s">
        <v>212</v>
      </c>
      <c r="R317" t="s">
        <v>215</v>
      </c>
      <c r="S317" t="s">
        <v>196</v>
      </c>
      <c r="T317" t="s">
        <v>178</v>
      </c>
    </row>
    <row r="318" spans="1:20">
      <c r="A318">
        <v>127</v>
      </c>
      <c r="B318" t="s">
        <v>137</v>
      </c>
      <c r="C318" t="s">
        <v>12</v>
      </c>
      <c r="D318">
        <v>3</v>
      </c>
      <c r="E318">
        <v>82</v>
      </c>
      <c r="F318">
        <v>76</v>
      </c>
      <c r="G318">
        <v>75</v>
      </c>
      <c r="H318">
        <v>80</v>
      </c>
      <c r="I318" t="s">
        <v>16</v>
      </c>
      <c r="J318">
        <v>7</v>
      </c>
      <c r="K318">
        <v>4</v>
      </c>
      <c r="L318">
        <v>231</v>
      </c>
      <c r="M318">
        <v>77</v>
      </c>
      <c r="N318" t="s">
        <v>199</v>
      </c>
      <c r="O318">
        <v>25.666666666666668</v>
      </c>
      <c r="P318" t="s">
        <v>16</v>
      </c>
      <c r="Q318" t="s">
        <v>212</v>
      </c>
      <c r="R318" t="s">
        <v>215</v>
      </c>
      <c r="S318" t="s">
        <v>195</v>
      </c>
      <c r="T318" t="s">
        <v>179</v>
      </c>
    </row>
    <row r="319" spans="1:20">
      <c r="A319">
        <v>129</v>
      </c>
      <c r="B319" t="s">
        <v>139</v>
      </c>
      <c r="C319" t="s">
        <v>12</v>
      </c>
      <c r="D319">
        <v>2</v>
      </c>
      <c r="E319">
        <v>68</v>
      </c>
      <c r="F319">
        <v>60</v>
      </c>
      <c r="G319">
        <v>58</v>
      </c>
      <c r="H319">
        <v>64</v>
      </c>
      <c r="I319" t="s">
        <v>16</v>
      </c>
      <c r="J319">
        <v>8</v>
      </c>
      <c r="K319">
        <v>5</v>
      </c>
      <c r="L319">
        <v>182</v>
      </c>
      <c r="M319">
        <v>60.666666666666664</v>
      </c>
      <c r="N319" t="s">
        <v>199</v>
      </c>
      <c r="O319">
        <v>30.333333333333332</v>
      </c>
      <c r="P319" t="s">
        <v>16</v>
      </c>
      <c r="Q319" t="s">
        <v>212</v>
      </c>
      <c r="R319" t="s">
        <v>215</v>
      </c>
      <c r="S319" t="s">
        <v>196</v>
      </c>
      <c r="T319" t="s">
        <v>178</v>
      </c>
    </row>
    <row r="320" spans="1:20">
      <c r="A320">
        <v>132</v>
      </c>
      <c r="B320" t="s">
        <v>142</v>
      </c>
      <c r="C320" t="s">
        <v>15</v>
      </c>
      <c r="D320">
        <v>3</v>
      </c>
      <c r="E320">
        <v>79</v>
      </c>
      <c r="F320">
        <v>74</v>
      </c>
      <c r="G320">
        <v>72</v>
      </c>
      <c r="H320">
        <v>77</v>
      </c>
      <c r="I320" t="s">
        <v>13</v>
      </c>
      <c r="J320">
        <v>7</v>
      </c>
      <c r="K320">
        <v>4</v>
      </c>
      <c r="L320">
        <v>223</v>
      </c>
      <c r="M320">
        <v>74.333333333333329</v>
      </c>
      <c r="N320" t="s">
        <v>199</v>
      </c>
      <c r="O320">
        <v>24.777777777777775</v>
      </c>
      <c r="P320" t="s">
        <v>16</v>
      </c>
      <c r="Q320" t="s">
        <v>212</v>
      </c>
      <c r="R320" t="s">
        <v>215</v>
      </c>
      <c r="S320" t="s">
        <v>196</v>
      </c>
      <c r="T320" t="s">
        <v>179</v>
      </c>
    </row>
    <row r="321" spans="1:20">
      <c r="A321">
        <v>134</v>
      </c>
      <c r="B321" t="s">
        <v>33</v>
      </c>
      <c r="C321" t="s">
        <v>12</v>
      </c>
      <c r="D321">
        <v>3</v>
      </c>
      <c r="E321">
        <v>80</v>
      </c>
      <c r="F321">
        <v>75</v>
      </c>
      <c r="G321">
        <v>73</v>
      </c>
      <c r="H321">
        <v>78</v>
      </c>
      <c r="I321" t="s">
        <v>16</v>
      </c>
      <c r="J321">
        <v>7</v>
      </c>
      <c r="K321">
        <v>4</v>
      </c>
      <c r="L321">
        <v>226</v>
      </c>
      <c r="M321">
        <v>75.333333333333329</v>
      </c>
      <c r="N321" t="s">
        <v>199</v>
      </c>
      <c r="O321">
        <v>25.111111111111111</v>
      </c>
      <c r="P321" t="s">
        <v>16</v>
      </c>
      <c r="Q321" t="s">
        <v>212</v>
      </c>
      <c r="R321" t="s">
        <v>215</v>
      </c>
      <c r="S321" t="s">
        <v>195</v>
      </c>
      <c r="T321" t="s">
        <v>179</v>
      </c>
    </row>
    <row r="322" spans="1:20">
      <c r="A322">
        <v>136</v>
      </c>
      <c r="B322" t="s">
        <v>145</v>
      </c>
      <c r="C322" t="s">
        <v>12</v>
      </c>
      <c r="D322">
        <v>2</v>
      </c>
      <c r="E322">
        <v>70</v>
      </c>
      <c r="F322">
        <v>62</v>
      </c>
      <c r="G322">
        <v>60</v>
      </c>
      <c r="H322">
        <v>66</v>
      </c>
      <c r="I322" t="s">
        <v>16</v>
      </c>
      <c r="J322">
        <v>8</v>
      </c>
      <c r="K322">
        <v>5</v>
      </c>
      <c r="L322">
        <v>188</v>
      </c>
      <c r="M322">
        <v>62.666666666666664</v>
      </c>
      <c r="N322" t="s">
        <v>199</v>
      </c>
      <c r="O322">
        <v>31.333333333333332</v>
      </c>
      <c r="P322" t="s">
        <v>16</v>
      </c>
      <c r="Q322" t="s">
        <v>212</v>
      </c>
      <c r="R322" t="s">
        <v>215</v>
      </c>
      <c r="S322" t="s">
        <v>196</v>
      </c>
      <c r="T322" t="s">
        <v>178</v>
      </c>
    </row>
    <row r="323" spans="1:20">
      <c r="A323">
        <v>138</v>
      </c>
      <c r="B323" t="s">
        <v>147</v>
      </c>
      <c r="C323" t="s">
        <v>12</v>
      </c>
      <c r="D323">
        <v>3</v>
      </c>
      <c r="E323">
        <v>78</v>
      </c>
      <c r="F323">
        <v>72</v>
      </c>
      <c r="G323">
        <v>70</v>
      </c>
      <c r="H323">
        <v>75</v>
      </c>
      <c r="I323" t="s">
        <v>13</v>
      </c>
      <c r="J323">
        <v>7</v>
      </c>
      <c r="K323">
        <v>4</v>
      </c>
      <c r="L323">
        <v>217</v>
      </c>
      <c r="M323">
        <v>72.333333333333329</v>
      </c>
      <c r="N323" t="s">
        <v>199</v>
      </c>
      <c r="O323">
        <v>24.111111111111111</v>
      </c>
      <c r="P323" t="s">
        <v>16</v>
      </c>
      <c r="Q323" t="s">
        <v>212</v>
      </c>
      <c r="R323" t="s">
        <v>215</v>
      </c>
      <c r="S323" t="s">
        <v>196</v>
      </c>
      <c r="T323" t="s">
        <v>179</v>
      </c>
    </row>
    <row r="324" spans="1:20">
      <c r="A324">
        <v>141</v>
      </c>
      <c r="B324" t="s">
        <v>150</v>
      </c>
      <c r="C324" t="s">
        <v>15</v>
      </c>
      <c r="D324">
        <v>3</v>
      </c>
      <c r="E324">
        <v>79</v>
      </c>
      <c r="F324">
        <v>74</v>
      </c>
      <c r="G324">
        <v>72</v>
      </c>
      <c r="H324">
        <v>76</v>
      </c>
      <c r="I324" t="s">
        <v>13</v>
      </c>
      <c r="J324">
        <v>7</v>
      </c>
      <c r="K324">
        <v>4</v>
      </c>
      <c r="L324">
        <v>222</v>
      </c>
      <c r="M324">
        <v>74</v>
      </c>
      <c r="N324" t="s">
        <v>199</v>
      </c>
      <c r="O324">
        <v>24.666666666666668</v>
      </c>
      <c r="P324" t="s">
        <v>16</v>
      </c>
      <c r="Q324" t="s">
        <v>212</v>
      </c>
      <c r="R324" t="s">
        <v>215</v>
      </c>
      <c r="S324" t="s">
        <v>196</v>
      </c>
      <c r="T324" t="s">
        <v>179</v>
      </c>
    </row>
    <row r="325" spans="1:20">
      <c r="A325">
        <v>142</v>
      </c>
      <c r="B325" t="s">
        <v>151</v>
      </c>
      <c r="C325" t="s">
        <v>12</v>
      </c>
      <c r="D325">
        <v>2</v>
      </c>
      <c r="E325">
        <v>72</v>
      </c>
      <c r="F325">
        <v>65</v>
      </c>
      <c r="G325">
        <v>64</v>
      </c>
      <c r="H325">
        <v>68</v>
      </c>
      <c r="I325" t="s">
        <v>16</v>
      </c>
      <c r="J325">
        <v>8</v>
      </c>
      <c r="K325">
        <v>5</v>
      </c>
      <c r="L325">
        <v>197</v>
      </c>
      <c r="M325">
        <v>65.666666666666671</v>
      </c>
      <c r="N325" t="s">
        <v>199</v>
      </c>
      <c r="O325">
        <v>32.833333333333336</v>
      </c>
      <c r="P325" t="s">
        <v>16</v>
      </c>
      <c r="Q325" t="s">
        <v>212</v>
      </c>
      <c r="R325" t="s">
        <v>215</v>
      </c>
      <c r="S325" t="s">
        <v>196</v>
      </c>
      <c r="T325" t="s">
        <v>178</v>
      </c>
    </row>
    <row r="326" spans="1:20">
      <c r="A326">
        <v>144</v>
      </c>
      <c r="B326" t="s">
        <v>152</v>
      </c>
      <c r="C326" t="s">
        <v>12</v>
      </c>
      <c r="D326">
        <v>3</v>
      </c>
      <c r="E326">
        <v>80</v>
      </c>
      <c r="F326">
        <v>75</v>
      </c>
      <c r="G326">
        <v>73</v>
      </c>
      <c r="H326">
        <v>78</v>
      </c>
      <c r="I326" t="s">
        <v>16</v>
      </c>
      <c r="J326">
        <v>7</v>
      </c>
      <c r="K326">
        <v>4</v>
      </c>
      <c r="L326">
        <v>226</v>
      </c>
      <c r="M326">
        <v>75.333333333333329</v>
      </c>
      <c r="N326" t="s">
        <v>199</v>
      </c>
      <c r="O326">
        <v>25.111111111111111</v>
      </c>
      <c r="P326" t="s">
        <v>16</v>
      </c>
      <c r="Q326" t="s">
        <v>212</v>
      </c>
      <c r="R326" t="s">
        <v>215</v>
      </c>
      <c r="S326" t="s">
        <v>195</v>
      </c>
      <c r="T326" t="s">
        <v>179</v>
      </c>
    </row>
    <row r="327" spans="1:20">
      <c r="A327">
        <v>146</v>
      </c>
      <c r="B327" t="s">
        <v>35</v>
      </c>
      <c r="C327" t="s">
        <v>12</v>
      </c>
      <c r="D327">
        <v>2</v>
      </c>
      <c r="E327">
        <v>70</v>
      </c>
      <c r="F327">
        <v>62</v>
      </c>
      <c r="G327">
        <v>60</v>
      </c>
      <c r="H327">
        <v>66</v>
      </c>
      <c r="I327" t="s">
        <v>16</v>
      </c>
      <c r="J327">
        <v>8</v>
      </c>
      <c r="K327">
        <v>5</v>
      </c>
      <c r="L327">
        <v>188</v>
      </c>
      <c r="M327">
        <v>62.666666666666664</v>
      </c>
      <c r="N327" t="s">
        <v>199</v>
      </c>
      <c r="O327">
        <v>31.333333333333332</v>
      </c>
      <c r="P327" t="s">
        <v>16</v>
      </c>
      <c r="Q327" t="s">
        <v>212</v>
      </c>
      <c r="R327" t="s">
        <v>215</v>
      </c>
      <c r="S327" t="s">
        <v>196</v>
      </c>
      <c r="T327" t="s">
        <v>178</v>
      </c>
    </row>
    <row r="328" spans="1:20">
      <c r="A328">
        <v>148</v>
      </c>
      <c r="B328" t="s">
        <v>71</v>
      </c>
      <c r="C328" t="s">
        <v>12</v>
      </c>
      <c r="D328">
        <v>3</v>
      </c>
      <c r="E328">
        <v>78</v>
      </c>
      <c r="F328">
        <v>72</v>
      </c>
      <c r="G328">
        <v>70</v>
      </c>
      <c r="H328">
        <v>75</v>
      </c>
      <c r="I328" t="s">
        <v>13</v>
      </c>
      <c r="J328">
        <v>7</v>
      </c>
      <c r="K328">
        <v>4</v>
      </c>
      <c r="L328">
        <v>217</v>
      </c>
      <c r="M328">
        <v>72.333333333333329</v>
      </c>
      <c r="N328" t="s">
        <v>199</v>
      </c>
      <c r="O328">
        <v>24.111111111111111</v>
      </c>
      <c r="P328" t="s">
        <v>16</v>
      </c>
      <c r="Q328" t="s">
        <v>212</v>
      </c>
      <c r="R328" t="s">
        <v>215</v>
      </c>
      <c r="S328" t="s">
        <v>196</v>
      </c>
      <c r="T328" t="s">
        <v>179</v>
      </c>
    </row>
    <row r="329" spans="1:20">
      <c r="A329">
        <v>151</v>
      </c>
      <c r="B329" t="s">
        <v>40</v>
      </c>
      <c r="C329" t="s">
        <v>15</v>
      </c>
      <c r="D329">
        <v>3</v>
      </c>
      <c r="E329">
        <v>79</v>
      </c>
      <c r="F329">
        <v>74</v>
      </c>
      <c r="G329">
        <v>72</v>
      </c>
      <c r="H329">
        <v>76</v>
      </c>
      <c r="I329" t="s">
        <v>13</v>
      </c>
      <c r="J329">
        <v>7</v>
      </c>
      <c r="K329">
        <v>4</v>
      </c>
      <c r="L329">
        <v>222</v>
      </c>
      <c r="M329">
        <v>74</v>
      </c>
      <c r="N329" t="s">
        <v>199</v>
      </c>
      <c r="O329">
        <v>24.666666666666668</v>
      </c>
      <c r="P329" t="s">
        <v>16</v>
      </c>
      <c r="Q329" t="s">
        <v>212</v>
      </c>
      <c r="R329" t="s">
        <v>215</v>
      </c>
      <c r="S329" t="s">
        <v>196</v>
      </c>
      <c r="T329" t="s">
        <v>179</v>
      </c>
    </row>
    <row r="330" spans="1:20">
      <c r="A330">
        <v>152</v>
      </c>
      <c r="B330" t="s">
        <v>157</v>
      </c>
      <c r="C330" t="s">
        <v>12</v>
      </c>
      <c r="D330">
        <v>2</v>
      </c>
      <c r="E330">
        <v>72</v>
      </c>
      <c r="F330">
        <v>65</v>
      </c>
      <c r="G330">
        <v>64</v>
      </c>
      <c r="H330">
        <v>68</v>
      </c>
      <c r="I330" t="s">
        <v>16</v>
      </c>
      <c r="J330">
        <v>8</v>
      </c>
      <c r="K330">
        <v>5</v>
      </c>
      <c r="L330">
        <v>197</v>
      </c>
      <c r="M330">
        <v>65.666666666666671</v>
      </c>
      <c r="N330" t="s">
        <v>199</v>
      </c>
      <c r="O330">
        <v>32.833333333333336</v>
      </c>
      <c r="P330" t="s">
        <v>16</v>
      </c>
      <c r="Q330" t="s">
        <v>212</v>
      </c>
      <c r="R330" t="s">
        <v>215</v>
      </c>
      <c r="S330" t="s">
        <v>196</v>
      </c>
      <c r="T330" t="s">
        <v>178</v>
      </c>
    </row>
    <row r="331" spans="1:20">
      <c r="A331">
        <v>155</v>
      </c>
      <c r="B331" t="s">
        <v>72</v>
      </c>
      <c r="C331" t="s">
        <v>12</v>
      </c>
      <c r="D331">
        <v>2</v>
      </c>
      <c r="E331">
        <v>75</v>
      </c>
      <c r="F331">
        <v>65</v>
      </c>
      <c r="G331">
        <v>60</v>
      </c>
      <c r="H331">
        <v>68</v>
      </c>
      <c r="I331" t="s">
        <v>16</v>
      </c>
      <c r="J331">
        <v>8</v>
      </c>
      <c r="K331">
        <v>5</v>
      </c>
      <c r="L331">
        <v>193</v>
      </c>
      <c r="M331">
        <v>64.333333333333329</v>
      </c>
      <c r="N331" t="s">
        <v>199</v>
      </c>
      <c r="O331">
        <v>32.166666666666664</v>
      </c>
      <c r="P331" t="s">
        <v>16</v>
      </c>
      <c r="Q331" t="s">
        <v>212</v>
      </c>
      <c r="R331" t="s">
        <v>215</v>
      </c>
      <c r="S331" t="s">
        <v>196</v>
      </c>
      <c r="T331" t="s">
        <v>178</v>
      </c>
    </row>
    <row r="332" spans="1:20">
      <c r="A332">
        <v>156</v>
      </c>
      <c r="B332" t="s">
        <v>73</v>
      </c>
      <c r="C332" t="s">
        <v>12</v>
      </c>
      <c r="D332">
        <v>3</v>
      </c>
      <c r="E332">
        <v>80</v>
      </c>
      <c r="F332">
        <v>75</v>
      </c>
      <c r="G332">
        <v>72</v>
      </c>
      <c r="H332">
        <v>78</v>
      </c>
      <c r="I332" t="s">
        <v>13</v>
      </c>
      <c r="J332">
        <v>7</v>
      </c>
      <c r="K332">
        <v>4</v>
      </c>
      <c r="L332">
        <v>225</v>
      </c>
      <c r="M332">
        <v>75</v>
      </c>
      <c r="N332" t="s">
        <v>199</v>
      </c>
      <c r="O332">
        <v>25</v>
      </c>
      <c r="P332" t="s">
        <v>16</v>
      </c>
      <c r="Q332" t="s">
        <v>212</v>
      </c>
      <c r="R332" t="s">
        <v>215</v>
      </c>
      <c r="S332" t="s">
        <v>195</v>
      </c>
      <c r="T332" t="s">
        <v>179</v>
      </c>
    </row>
    <row r="333" spans="1:20">
      <c r="A333">
        <v>161</v>
      </c>
      <c r="B333" t="s">
        <v>76</v>
      </c>
      <c r="C333" t="s">
        <v>15</v>
      </c>
      <c r="D333">
        <v>3</v>
      </c>
      <c r="E333">
        <v>78</v>
      </c>
      <c r="F333">
        <v>72</v>
      </c>
      <c r="G333">
        <v>70</v>
      </c>
      <c r="H333">
        <v>75</v>
      </c>
      <c r="I333" t="s">
        <v>13</v>
      </c>
      <c r="J333">
        <v>7</v>
      </c>
      <c r="K333">
        <v>4</v>
      </c>
      <c r="L333">
        <v>217</v>
      </c>
      <c r="M333">
        <v>72.333333333333329</v>
      </c>
      <c r="N333" t="s">
        <v>199</v>
      </c>
      <c r="O333">
        <v>24.111111111111111</v>
      </c>
      <c r="P333" t="s">
        <v>16</v>
      </c>
      <c r="Q333" t="s">
        <v>212</v>
      </c>
      <c r="R333" t="s">
        <v>215</v>
      </c>
      <c r="S333" t="s">
        <v>196</v>
      </c>
      <c r="T333" t="s">
        <v>179</v>
      </c>
    </row>
    <row r="334" spans="1:20">
      <c r="A334">
        <v>162</v>
      </c>
      <c r="B334" t="s">
        <v>77</v>
      </c>
      <c r="C334" t="s">
        <v>15</v>
      </c>
      <c r="D334">
        <v>0</v>
      </c>
      <c r="E334">
        <v>82</v>
      </c>
      <c r="F334">
        <v>78</v>
      </c>
      <c r="G334">
        <v>76</v>
      </c>
      <c r="H334">
        <v>80</v>
      </c>
      <c r="I334" t="s">
        <v>13</v>
      </c>
      <c r="J334">
        <v>7</v>
      </c>
      <c r="K334">
        <v>3</v>
      </c>
      <c r="L334">
        <v>234</v>
      </c>
      <c r="M334">
        <v>78</v>
      </c>
      <c r="N334" t="s">
        <v>199</v>
      </c>
      <c r="O334">
        <v>0</v>
      </c>
      <c r="P334" t="s">
        <v>16</v>
      </c>
      <c r="Q334" t="s">
        <v>212</v>
      </c>
      <c r="R334" t="s">
        <v>215</v>
      </c>
      <c r="S334" t="s">
        <v>195</v>
      </c>
      <c r="T334" t="s">
        <v>179</v>
      </c>
    </row>
    <row r="335" spans="1:20">
      <c r="A335">
        <v>163</v>
      </c>
      <c r="B335" t="s">
        <v>78</v>
      </c>
      <c r="C335" t="s">
        <v>12</v>
      </c>
      <c r="D335">
        <v>2</v>
      </c>
      <c r="E335">
        <v>70</v>
      </c>
      <c r="F335">
        <v>65</v>
      </c>
      <c r="G335">
        <v>60</v>
      </c>
      <c r="H335">
        <v>66</v>
      </c>
      <c r="I335" t="s">
        <v>16</v>
      </c>
      <c r="J335">
        <v>8</v>
      </c>
      <c r="K335">
        <v>5</v>
      </c>
      <c r="L335">
        <v>191</v>
      </c>
      <c r="M335">
        <v>63.666666666666664</v>
      </c>
      <c r="N335" t="s">
        <v>199</v>
      </c>
      <c r="O335">
        <v>31.833333333333332</v>
      </c>
      <c r="P335" t="s">
        <v>16</v>
      </c>
      <c r="Q335" t="s">
        <v>212</v>
      </c>
      <c r="R335" t="s">
        <v>215</v>
      </c>
      <c r="S335" t="s">
        <v>196</v>
      </c>
      <c r="T335" t="s">
        <v>178</v>
      </c>
    </row>
    <row r="336" spans="1:20">
      <c r="A336">
        <v>164</v>
      </c>
      <c r="B336" t="s">
        <v>79</v>
      </c>
      <c r="C336" t="s">
        <v>12</v>
      </c>
      <c r="D336">
        <v>3</v>
      </c>
      <c r="E336">
        <v>79</v>
      </c>
      <c r="F336">
        <v>74</v>
      </c>
      <c r="G336">
        <v>72</v>
      </c>
      <c r="H336">
        <v>77</v>
      </c>
      <c r="I336" t="s">
        <v>13</v>
      </c>
      <c r="J336">
        <v>7</v>
      </c>
      <c r="K336">
        <v>0</v>
      </c>
      <c r="L336">
        <v>223</v>
      </c>
      <c r="M336">
        <v>74.333333333333329</v>
      </c>
      <c r="N336" t="s">
        <v>199</v>
      </c>
      <c r="O336">
        <v>24.777777777777775</v>
      </c>
      <c r="P336" t="s">
        <v>16</v>
      </c>
      <c r="Q336" t="s">
        <v>212</v>
      </c>
      <c r="R336" t="s">
        <v>215</v>
      </c>
      <c r="S336" t="s">
        <v>196</v>
      </c>
      <c r="T336" t="s">
        <v>179</v>
      </c>
    </row>
    <row r="337" spans="1:20">
      <c r="A337">
        <v>169</v>
      </c>
      <c r="B337" t="s">
        <v>83</v>
      </c>
      <c r="C337" t="s">
        <v>15</v>
      </c>
      <c r="D337">
        <v>2</v>
      </c>
      <c r="E337">
        <v>72</v>
      </c>
      <c r="F337">
        <v>65</v>
      </c>
      <c r="G337">
        <v>63</v>
      </c>
      <c r="H337">
        <v>68</v>
      </c>
      <c r="I337" t="s">
        <v>13</v>
      </c>
      <c r="J337">
        <v>8</v>
      </c>
      <c r="K337">
        <v>5</v>
      </c>
      <c r="L337">
        <v>196</v>
      </c>
      <c r="M337">
        <v>65.333333333333329</v>
      </c>
      <c r="N337" t="s">
        <v>199</v>
      </c>
      <c r="O337">
        <v>32.666666666666664</v>
      </c>
      <c r="P337" t="s">
        <v>16</v>
      </c>
      <c r="Q337" t="s">
        <v>212</v>
      </c>
      <c r="R337" t="s">
        <v>215</v>
      </c>
      <c r="S337" t="s">
        <v>196</v>
      </c>
      <c r="T337" t="s">
        <v>178</v>
      </c>
    </row>
    <row r="338" spans="1:20">
      <c r="A338">
        <v>171</v>
      </c>
      <c r="B338" t="s">
        <v>85</v>
      </c>
      <c r="C338" t="s">
        <v>12</v>
      </c>
      <c r="D338">
        <v>3</v>
      </c>
      <c r="E338">
        <v>80</v>
      </c>
      <c r="F338">
        <v>75</v>
      </c>
      <c r="G338">
        <v>73</v>
      </c>
      <c r="H338">
        <v>78</v>
      </c>
      <c r="I338" t="s">
        <v>16</v>
      </c>
      <c r="J338">
        <v>7</v>
      </c>
      <c r="K338">
        <v>4</v>
      </c>
      <c r="L338">
        <v>226</v>
      </c>
      <c r="M338">
        <v>75.333333333333329</v>
      </c>
      <c r="N338" t="s">
        <v>199</v>
      </c>
      <c r="O338">
        <v>25.111111111111111</v>
      </c>
      <c r="P338" t="s">
        <v>16</v>
      </c>
      <c r="Q338" t="s">
        <v>212</v>
      </c>
      <c r="R338" t="s">
        <v>215</v>
      </c>
      <c r="S338" t="s">
        <v>195</v>
      </c>
      <c r="T338" t="s">
        <v>179</v>
      </c>
    </row>
    <row r="339" spans="1:20">
      <c r="A339">
        <v>173</v>
      </c>
      <c r="B339" t="s">
        <v>87</v>
      </c>
      <c r="C339" t="s">
        <v>12</v>
      </c>
      <c r="D339">
        <v>2</v>
      </c>
      <c r="E339">
        <v>68</v>
      </c>
      <c r="F339">
        <v>60</v>
      </c>
      <c r="G339">
        <v>58</v>
      </c>
      <c r="H339">
        <v>64</v>
      </c>
      <c r="I339" t="s">
        <v>16</v>
      </c>
      <c r="J339">
        <v>8</v>
      </c>
      <c r="K339">
        <v>5</v>
      </c>
      <c r="L339">
        <v>182</v>
      </c>
      <c r="M339">
        <v>60.666666666666664</v>
      </c>
      <c r="N339" t="s">
        <v>199</v>
      </c>
      <c r="O339">
        <v>30.333333333333332</v>
      </c>
      <c r="P339" t="s">
        <v>16</v>
      </c>
      <c r="Q339" t="s">
        <v>212</v>
      </c>
      <c r="R339" t="s">
        <v>215</v>
      </c>
      <c r="S339" t="s">
        <v>196</v>
      </c>
      <c r="T339" t="s">
        <v>178</v>
      </c>
    </row>
    <row r="340" spans="1:20">
      <c r="A340">
        <v>177</v>
      </c>
      <c r="B340" t="s">
        <v>91</v>
      </c>
      <c r="C340" t="s">
        <v>15</v>
      </c>
      <c r="D340">
        <v>3</v>
      </c>
      <c r="E340">
        <v>79</v>
      </c>
      <c r="F340">
        <v>74</v>
      </c>
      <c r="G340">
        <v>72</v>
      </c>
      <c r="H340">
        <v>76</v>
      </c>
      <c r="I340" t="s">
        <v>13</v>
      </c>
      <c r="J340">
        <v>7</v>
      </c>
      <c r="K340">
        <v>4</v>
      </c>
      <c r="L340">
        <v>222</v>
      </c>
      <c r="M340">
        <v>74</v>
      </c>
      <c r="N340" t="s">
        <v>199</v>
      </c>
      <c r="O340">
        <v>24.666666666666668</v>
      </c>
      <c r="P340" t="s">
        <v>16</v>
      </c>
      <c r="Q340" t="s">
        <v>212</v>
      </c>
      <c r="R340" t="s">
        <v>215</v>
      </c>
      <c r="S340" t="s">
        <v>196</v>
      </c>
      <c r="T340" t="s">
        <v>179</v>
      </c>
    </row>
    <row r="341" spans="1:20">
      <c r="A341">
        <v>178</v>
      </c>
      <c r="B341" t="s">
        <v>92</v>
      </c>
      <c r="C341" t="s">
        <v>12</v>
      </c>
      <c r="D341">
        <v>2</v>
      </c>
      <c r="E341">
        <v>70</v>
      </c>
      <c r="F341">
        <v>63</v>
      </c>
      <c r="G341">
        <v>60</v>
      </c>
      <c r="H341">
        <v>66</v>
      </c>
      <c r="I341" t="s">
        <v>13</v>
      </c>
      <c r="J341">
        <v>8</v>
      </c>
      <c r="K341">
        <v>5</v>
      </c>
      <c r="L341">
        <v>189</v>
      </c>
      <c r="M341">
        <v>63</v>
      </c>
      <c r="N341" t="s">
        <v>199</v>
      </c>
      <c r="O341">
        <v>31.5</v>
      </c>
      <c r="P341" t="s">
        <v>16</v>
      </c>
      <c r="Q341" t="s">
        <v>212</v>
      </c>
      <c r="R341" t="s">
        <v>215</v>
      </c>
      <c r="S341" t="s">
        <v>196</v>
      </c>
      <c r="T341" t="s">
        <v>178</v>
      </c>
    </row>
    <row r="342" spans="1:20">
      <c r="A342">
        <v>180</v>
      </c>
      <c r="B342" t="s">
        <v>94</v>
      </c>
      <c r="C342" t="s">
        <v>12</v>
      </c>
      <c r="D342">
        <v>3</v>
      </c>
      <c r="E342">
        <v>82</v>
      </c>
      <c r="F342">
        <v>76</v>
      </c>
      <c r="G342">
        <v>75</v>
      </c>
      <c r="H342">
        <v>79</v>
      </c>
      <c r="I342" t="s">
        <v>16</v>
      </c>
      <c r="J342">
        <v>7</v>
      </c>
      <c r="K342">
        <v>4</v>
      </c>
      <c r="L342">
        <v>230</v>
      </c>
      <c r="M342">
        <v>76.666666666666671</v>
      </c>
      <c r="N342" t="s">
        <v>199</v>
      </c>
      <c r="O342">
        <v>25.555555555555557</v>
      </c>
      <c r="P342" t="s">
        <v>16</v>
      </c>
      <c r="Q342" t="s">
        <v>212</v>
      </c>
      <c r="R342" t="s">
        <v>215</v>
      </c>
      <c r="S342" t="s">
        <v>195</v>
      </c>
      <c r="T342" t="s">
        <v>179</v>
      </c>
    </row>
    <row r="343" spans="1:20">
      <c r="A343">
        <v>182</v>
      </c>
      <c r="B343" t="s">
        <v>96</v>
      </c>
      <c r="C343" t="s">
        <v>12</v>
      </c>
      <c r="D343">
        <v>2</v>
      </c>
      <c r="E343">
        <v>68</v>
      </c>
      <c r="F343">
        <v>60</v>
      </c>
      <c r="G343">
        <v>58</v>
      </c>
      <c r="H343">
        <v>63</v>
      </c>
      <c r="I343" t="s">
        <v>16</v>
      </c>
      <c r="J343">
        <v>8</v>
      </c>
      <c r="K343">
        <v>5</v>
      </c>
      <c r="L343">
        <v>181</v>
      </c>
      <c r="M343">
        <v>60.333333333333336</v>
      </c>
      <c r="N343" t="s">
        <v>199</v>
      </c>
      <c r="O343">
        <v>30.166666666666668</v>
      </c>
      <c r="P343" t="s">
        <v>16</v>
      </c>
      <c r="Q343" t="s">
        <v>212</v>
      </c>
      <c r="R343" t="s">
        <v>215</v>
      </c>
      <c r="S343" t="s">
        <v>196</v>
      </c>
      <c r="T343" t="s">
        <v>178</v>
      </c>
    </row>
    <row r="344" spans="1:20">
      <c r="A344">
        <v>184</v>
      </c>
      <c r="B344" t="s">
        <v>98</v>
      </c>
      <c r="C344" t="s">
        <v>15</v>
      </c>
      <c r="D344">
        <v>3</v>
      </c>
      <c r="E344">
        <v>78</v>
      </c>
      <c r="F344">
        <v>72</v>
      </c>
      <c r="G344">
        <v>70</v>
      </c>
      <c r="H344">
        <v>75</v>
      </c>
      <c r="I344" t="s">
        <v>13</v>
      </c>
      <c r="J344">
        <v>7</v>
      </c>
      <c r="K344">
        <v>4</v>
      </c>
      <c r="L344">
        <v>217</v>
      </c>
      <c r="M344">
        <v>72.333333333333329</v>
      </c>
      <c r="N344" t="s">
        <v>199</v>
      </c>
      <c r="O344">
        <v>24.111111111111111</v>
      </c>
      <c r="P344" t="s">
        <v>16</v>
      </c>
      <c r="Q344" t="s">
        <v>212</v>
      </c>
      <c r="R344" t="s">
        <v>215</v>
      </c>
      <c r="S344" t="s">
        <v>196</v>
      </c>
      <c r="T344" t="s">
        <v>179</v>
      </c>
    </row>
    <row r="345" spans="1:20">
      <c r="A345">
        <v>187</v>
      </c>
      <c r="B345" t="s">
        <v>101</v>
      </c>
      <c r="C345" t="s">
        <v>12</v>
      </c>
      <c r="D345">
        <v>2</v>
      </c>
      <c r="E345">
        <v>70</v>
      </c>
      <c r="F345">
        <v>62</v>
      </c>
      <c r="G345">
        <v>60</v>
      </c>
      <c r="H345">
        <v>66</v>
      </c>
      <c r="I345" t="s">
        <v>16</v>
      </c>
      <c r="J345">
        <v>8</v>
      </c>
      <c r="K345">
        <v>5</v>
      </c>
      <c r="L345">
        <v>188</v>
      </c>
      <c r="M345">
        <v>62.666666666666664</v>
      </c>
      <c r="N345" t="s">
        <v>199</v>
      </c>
      <c r="O345">
        <v>31.333333333333332</v>
      </c>
      <c r="P345" t="s">
        <v>16</v>
      </c>
      <c r="Q345" t="s">
        <v>212</v>
      </c>
      <c r="R345" t="s">
        <v>215</v>
      </c>
      <c r="S345" t="s">
        <v>196</v>
      </c>
      <c r="T345" t="s">
        <v>178</v>
      </c>
    </row>
    <row r="346" spans="1:20">
      <c r="A346">
        <v>189</v>
      </c>
      <c r="B346" t="s">
        <v>103</v>
      </c>
      <c r="C346" t="s">
        <v>12</v>
      </c>
      <c r="D346">
        <v>3</v>
      </c>
      <c r="E346">
        <v>82</v>
      </c>
      <c r="F346">
        <v>76</v>
      </c>
      <c r="G346">
        <v>75</v>
      </c>
      <c r="H346">
        <v>80</v>
      </c>
      <c r="I346" t="s">
        <v>16</v>
      </c>
      <c r="J346">
        <v>7</v>
      </c>
      <c r="K346">
        <v>4</v>
      </c>
      <c r="L346">
        <v>231</v>
      </c>
      <c r="M346">
        <v>77</v>
      </c>
      <c r="N346" t="s">
        <v>199</v>
      </c>
      <c r="O346">
        <v>25.666666666666668</v>
      </c>
      <c r="P346" t="s">
        <v>16</v>
      </c>
      <c r="Q346" t="s">
        <v>212</v>
      </c>
      <c r="R346" t="s">
        <v>215</v>
      </c>
      <c r="S346" t="s">
        <v>195</v>
      </c>
      <c r="T346" t="s">
        <v>179</v>
      </c>
    </row>
    <row r="347" spans="1:20">
      <c r="A347">
        <v>191</v>
      </c>
      <c r="B347" t="s">
        <v>105</v>
      </c>
      <c r="C347" t="s">
        <v>12</v>
      </c>
      <c r="D347">
        <v>2</v>
      </c>
      <c r="E347">
        <v>68</v>
      </c>
      <c r="F347">
        <v>60</v>
      </c>
      <c r="G347">
        <v>58</v>
      </c>
      <c r="H347">
        <v>64</v>
      </c>
      <c r="I347" t="s">
        <v>16</v>
      </c>
      <c r="J347">
        <v>8</v>
      </c>
      <c r="K347">
        <v>5</v>
      </c>
      <c r="L347">
        <v>182</v>
      </c>
      <c r="M347">
        <v>60.666666666666664</v>
      </c>
      <c r="N347" t="s">
        <v>199</v>
      </c>
      <c r="O347">
        <v>30.333333333333332</v>
      </c>
      <c r="P347" t="s">
        <v>16</v>
      </c>
      <c r="Q347" t="s">
        <v>212</v>
      </c>
      <c r="R347" t="s">
        <v>215</v>
      </c>
      <c r="S347" t="s">
        <v>196</v>
      </c>
      <c r="T347" t="s">
        <v>178</v>
      </c>
    </row>
    <row r="348" spans="1:20">
      <c r="A348">
        <v>194</v>
      </c>
      <c r="B348" t="s">
        <v>108</v>
      </c>
      <c r="C348" t="s">
        <v>15</v>
      </c>
      <c r="D348">
        <v>3</v>
      </c>
      <c r="E348">
        <v>79</v>
      </c>
      <c r="F348">
        <v>74</v>
      </c>
      <c r="G348">
        <v>72</v>
      </c>
      <c r="H348">
        <v>77</v>
      </c>
      <c r="I348" t="s">
        <v>13</v>
      </c>
      <c r="J348">
        <v>7</v>
      </c>
      <c r="K348">
        <v>4</v>
      </c>
      <c r="L348">
        <v>223</v>
      </c>
      <c r="M348">
        <v>74.333333333333329</v>
      </c>
      <c r="N348" t="s">
        <v>199</v>
      </c>
      <c r="O348">
        <v>24.777777777777775</v>
      </c>
      <c r="P348" t="s">
        <v>16</v>
      </c>
      <c r="Q348" t="s">
        <v>212</v>
      </c>
      <c r="R348" t="s">
        <v>215</v>
      </c>
      <c r="S348" t="s">
        <v>196</v>
      </c>
      <c r="T348" t="s">
        <v>179</v>
      </c>
    </row>
    <row r="349" spans="1:20">
      <c r="A349">
        <v>195</v>
      </c>
      <c r="B349" t="s">
        <v>109</v>
      </c>
      <c r="C349" t="s">
        <v>12</v>
      </c>
      <c r="D349">
        <v>2</v>
      </c>
      <c r="E349">
        <v>72</v>
      </c>
      <c r="F349">
        <v>65</v>
      </c>
      <c r="G349">
        <v>64</v>
      </c>
      <c r="H349">
        <v>68</v>
      </c>
      <c r="I349" t="s">
        <v>16</v>
      </c>
      <c r="J349">
        <v>8</v>
      </c>
      <c r="K349">
        <v>5</v>
      </c>
      <c r="L349">
        <v>197</v>
      </c>
      <c r="M349">
        <v>65.666666666666671</v>
      </c>
      <c r="N349" t="s">
        <v>199</v>
      </c>
      <c r="O349">
        <v>32.833333333333336</v>
      </c>
      <c r="P349" t="s">
        <v>16</v>
      </c>
      <c r="Q349" t="s">
        <v>212</v>
      </c>
      <c r="R349" t="s">
        <v>215</v>
      </c>
      <c r="S349" t="s">
        <v>196</v>
      </c>
      <c r="T349" t="s">
        <v>178</v>
      </c>
    </row>
    <row r="350" spans="1:20">
      <c r="A350">
        <v>197</v>
      </c>
      <c r="B350" t="s">
        <v>111</v>
      </c>
      <c r="C350" t="s">
        <v>12</v>
      </c>
      <c r="D350">
        <v>3</v>
      </c>
      <c r="E350">
        <v>80</v>
      </c>
      <c r="F350">
        <v>75</v>
      </c>
      <c r="G350">
        <v>73</v>
      </c>
      <c r="H350">
        <v>78</v>
      </c>
      <c r="I350" t="s">
        <v>13</v>
      </c>
      <c r="J350">
        <v>7</v>
      </c>
      <c r="K350">
        <v>4</v>
      </c>
      <c r="L350">
        <v>226</v>
      </c>
      <c r="M350">
        <v>75.333333333333329</v>
      </c>
      <c r="N350" t="s">
        <v>199</v>
      </c>
      <c r="O350">
        <v>25.111111111111111</v>
      </c>
      <c r="P350" t="s">
        <v>16</v>
      </c>
      <c r="Q350" t="s">
        <v>212</v>
      </c>
      <c r="R350" t="s">
        <v>215</v>
      </c>
      <c r="S350" t="s">
        <v>195</v>
      </c>
      <c r="T350" t="s">
        <v>179</v>
      </c>
    </row>
    <row r="351" spans="1:20">
      <c r="A351">
        <v>201</v>
      </c>
      <c r="B351" t="s">
        <v>65</v>
      </c>
      <c r="C351" t="s">
        <v>12</v>
      </c>
      <c r="D351">
        <v>3</v>
      </c>
      <c r="E351">
        <v>85</v>
      </c>
      <c r="F351">
        <v>78</v>
      </c>
      <c r="G351">
        <v>72</v>
      </c>
      <c r="H351">
        <v>80</v>
      </c>
      <c r="I351" t="s">
        <v>13</v>
      </c>
      <c r="J351">
        <v>7</v>
      </c>
      <c r="K351">
        <v>3</v>
      </c>
      <c r="L351">
        <v>230</v>
      </c>
      <c r="M351">
        <v>76.666666666666671</v>
      </c>
      <c r="N351" t="s">
        <v>199</v>
      </c>
      <c r="O351">
        <v>25.555555555555557</v>
      </c>
      <c r="P351" t="s">
        <v>16</v>
      </c>
      <c r="Q351" t="s">
        <v>212</v>
      </c>
      <c r="R351" t="s">
        <v>215</v>
      </c>
      <c r="S351" t="s">
        <v>195</v>
      </c>
      <c r="T351" t="s">
        <v>179</v>
      </c>
    </row>
    <row r="352" spans="1:20">
      <c r="A352">
        <v>206</v>
      </c>
      <c r="B352" t="s">
        <v>118</v>
      </c>
      <c r="C352" t="s">
        <v>12</v>
      </c>
      <c r="D352">
        <v>3</v>
      </c>
      <c r="E352">
        <v>80</v>
      </c>
      <c r="F352">
        <v>75</v>
      </c>
      <c r="G352">
        <v>73</v>
      </c>
      <c r="H352">
        <v>78</v>
      </c>
      <c r="I352" t="s">
        <v>16</v>
      </c>
      <c r="J352">
        <v>7</v>
      </c>
      <c r="K352">
        <v>4</v>
      </c>
      <c r="L352">
        <v>226</v>
      </c>
      <c r="M352">
        <v>75.333333333333329</v>
      </c>
      <c r="N352" t="s">
        <v>199</v>
      </c>
      <c r="O352">
        <v>25.111111111111111</v>
      </c>
      <c r="P352" t="s">
        <v>16</v>
      </c>
      <c r="Q352" t="s">
        <v>212</v>
      </c>
      <c r="R352" t="s">
        <v>215</v>
      </c>
      <c r="S352" t="s">
        <v>195</v>
      </c>
      <c r="T352" t="s">
        <v>179</v>
      </c>
    </row>
    <row r="353" spans="1:20">
      <c r="A353">
        <v>208</v>
      </c>
      <c r="B353" t="s">
        <v>120</v>
      </c>
      <c r="C353" t="s">
        <v>12</v>
      </c>
      <c r="D353">
        <v>2</v>
      </c>
      <c r="E353">
        <v>70</v>
      </c>
      <c r="F353">
        <v>62</v>
      </c>
      <c r="G353">
        <v>60</v>
      </c>
      <c r="H353">
        <v>66</v>
      </c>
      <c r="I353" t="s">
        <v>16</v>
      </c>
      <c r="J353">
        <v>8</v>
      </c>
      <c r="K353">
        <v>5</v>
      </c>
      <c r="L353">
        <v>188</v>
      </c>
      <c r="M353">
        <v>62.666666666666664</v>
      </c>
      <c r="N353" t="s">
        <v>199</v>
      </c>
      <c r="O353">
        <v>31.333333333333332</v>
      </c>
      <c r="P353" t="s">
        <v>16</v>
      </c>
      <c r="Q353" t="s">
        <v>212</v>
      </c>
      <c r="R353" t="s">
        <v>215</v>
      </c>
      <c r="S353" t="s">
        <v>196</v>
      </c>
      <c r="T353" t="s">
        <v>178</v>
      </c>
    </row>
    <row r="354" spans="1:20">
      <c r="A354">
        <v>210</v>
      </c>
      <c r="B354" t="s">
        <v>122</v>
      </c>
      <c r="C354" t="s">
        <v>12</v>
      </c>
      <c r="D354">
        <v>3</v>
      </c>
      <c r="E354">
        <v>78</v>
      </c>
      <c r="F354">
        <v>72</v>
      </c>
      <c r="G354">
        <v>70</v>
      </c>
      <c r="H354">
        <v>75</v>
      </c>
      <c r="I354" t="s">
        <v>13</v>
      </c>
      <c r="J354">
        <v>7</v>
      </c>
      <c r="K354">
        <v>4</v>
      </c>
      <c r="L354">
        <v>217</v>
      </c>
      <c r="M354">
        <v>72.333333333333329</v>
      </c>
      <c r="N354" t="s">
        <v>199</v>
      </c>
      <c r="O354">
        <v>24.111111111111111</v>
      </c>
      <c r="P354" t="s">
        <v>16</v>
      </c>
      <c r="Q354" t="s">
        <v>212</v>
      </c>
      <c r="R354" t="s">
        <v>215</v>
      </c>
      <c r="S354" t="s">
        <v>196</v>
      </c>
      <c r="T354" t="s">
        <v>179</v>
      </c>
    </row>
    <row r="355" spans="1:20">
      <c r="A355">
        <v>213</v>
      </c>
      <c r="B355" t="s">
        <v>54</v>
      </c>
      <c r="C355" t="s">
        <v>15</v>
      </c>
      <c r="D355">
        <v>3</v>
      </c>
      <c r="E355">
        <v>79</v>
      </c>
      <c r="F355">
        <v>74</v>
      </c>
      <c r="G355">
        <v>72</v>
      </c>
      <c r="H355">
        <v>76</v>
      </c>
      <c r="I355" t="s">
        <v>13</v>
      </c>
      <c r="J355">
        <v>7</v>
      </c>
      <c r="K355">
        <v>4</v>
      </c>
      <c r="L355">
        <v>222</v>
      </c>
      <c r="M355">
        <v>74</v>
      </c>
      <c r="N355" t="s">
        <v>199</v>
      </c>
      <c r="O355">
        <v>24.666666666666668</v>
      </c>
      <c r="P355" t="s">
        <v>16</v>
      </c>
      <c r="Q355" t="s">
        <v>212</v>
      </c>
      <c r="R355" t="s">
        <v>215</v>
      </c>
      <c r="S355" t="s">
        <v>196</v>
      </c>
      <c r="T355" t="s">
        <v>179</v>
      </c>
    </row>
    <row r="356" spans="1:20">
      <c r="A356">
        <v>214</v>
      </c>
      <c r="B356" t="s">
        <v>125</v>
      </c>
      <c r="C356" t="s">
        <v>12</v>
      </c>
      <c r="D356">
        <v>2</v>
      </c>
      <c r="E356">
        <v>72</v>
      </c>
      <c r="F356">
        <v>65</v>
      </c>
      <c r="G356">
        <v>64</v>
      </c>
      <c r="H356">
        <v>68</v>
      </c>
      <c r="I356" t="s">
        <v>16</v>
      </c>
      <c r="J356">
        <v>8</v>
      </c>
      <c r="K356">
        <v>5</v>
      </c>
      <c r="L356">
        <v>197</v>
      </c>
      <c r="M356">
        <v>65.666666666666671</v>
      </c>
      <c r="N356" t="s">
        <v>199</v>
      </c>
      <c r="O356">
        <v>32.833333333333336</v>
      </c>
      <c r="P356" t="s">
        <v>16</v>
      </c>
      <c r="Q356" t="s">
        <v>212</v>
      </c>
      <c r="R356" t="s">
        <v>215</v>
      </c>
      <c r="S356" t="s">
        <v>196</v>
      </c>
      <c r="T356" t="s">
        <v>178</v>
      </c>
    </row>
    <row r="357" spans="1:20">
      <c r="A357">
        <v>217</v>
      </c>
      <c r="B357" t="s">
        <v>128</v>
      </c>
      <c r="C357" t="s">
        <v>12</v>
      </c>
      <c r="D357">
        <v>3</v>
      </c>
      <c r="E357">
        <v>80</v>
      </c>
      <c r="F357">
        <v>75</v>
      </c>
      <c r="G357">
        <v>73</v>
      </c>
      <c r="H357">
        <v>78</v>
      </c>
      <c r="I357" t="s">
        <v>16</v>
      </c>
      <c r="J357">
        <v>7</v>
      </c>
      <c r="K357">
        <v>4</v>
      </c>
      <c r="L357">
        <v>226</v>
      </c>
      <c r="M357">
        <v>75.333333333333329</v>
      </c>
      <c r="N357" t="s">
        <v>199</v>
      </c>
      <c r="O357">
        <v>25.111111111111111</v>
      </c>
      <c r="P357" t="s">
        <v>16</v>
      </c>
      <c r="Q357" t="s">
        <v>212</v>
      </c>
      <c r="R357" t="s">
        <v>215</v>
      </c>
      <c r="S357" t="s">
        <v>195</v>
      </c>
      <c r="T357" t="s">
        <v>179</v>
      </c>
    </row>
    <row r="358" spans="1:20">
      <c r="A358">
        <v>219</v>
      </c>
      <c r="B358" t="s">
        <v>130</v>
      </c>
      <c r="C358" t="s">
        <v>12</v>
      </c>
      <c r="D358">
        <v>2</v>
      </c>
      <c r="E358">
        <v>68</v>
      </c>
      <c r="F358">
        <v>60</v>
      </c>
      <c r="G358">
        <v>58</v>
      </c>
      <c r="H358">
        <v>64</v>
      </c>
      <c r="I358" t="s">
        <v>16</v>
      </c>
      <c r="J358">
        <v>8</v>
      </c>
      <c r="K358">
        <v>5</v>
      </c>
      <c r="L358">
        <v>182</v>
      </c>
      <c r="M358">
        <v>60.666666666666664</v>
      </c>
      <c r="N358" t="s">
        <v>199</v>
      </c>
      <c r="O358">
        <v>30.333333333333332</v>
      </c>
      <c r="P358" t="s">
        <v>16</v>
      </c>
      <c r="Q358" t="s">
        <v>212</v>
      </c>
      <c r="R358" t="s">
        <v>215</v>
      </c>
      <c r="S358" t="s">
        <v>196</v>
      </c>
      <c r="T358" t="s">
        <v>178</v>
      </c>
    </row>
    <row r="359" spans="1:20">
      <c r="A359">
        <v>222</v>
      </c>
      <c r="B359" t="s">
        <v>133</v>
      </c>
      <c r="C359" t="s">
        <v>15</v>
      </c>
      <c r="D359">
        <v>3</v>
      </c>
      <c r="E359">
        <v>78</v>
      </c>
      <c r="F359">
        <v>72</v>
      </c>
      <c r="G359">
        <v>70</v>
      </c>
      <c r="H359">
        <v>75</v>
      </c>
      <c r="I359" t="s">
        <v>13</v>
      </c>
      <c r="J359">
        <v>7</v>
      </c>
      <c r="K359">
        <v>4</v>
      </c>
      <c r="L359">
        <v>217</v>
      </c>
      <c r="M359">
        <v>72.333333333333329</v>
      </c>
      <c r="N359" t="s">
        <v>199</v>
      </c>
      <c r="O359">
        <v>24.111111111111111</v>
      </c>
      <c r="P359" t="s">
        <v>16</v>
      </c>
      <c r="Q359" t="s">
        <v>212</v>
      </c>
      <c r="R359" t="s">
        <v>215</v>
      </c>
      <c r="S359" t="s">
        <v>196</v>
      </c>
      <c r="T359" t="s">
        <v>179</v>
      </c>
    </row>
    <row r="360" spans="1:20">
      <c r="A360">
        <v>225</v>
      </c>
      <c r="B360" t="s">
        <v>135</v>
      </c>
      <c r="C360" t="s">
        <v>12</v>
      </c>
      <c r="D360">
        <v>2</v>
      </c>
      <c r="E360">
        <v>70</v>
      </c>
      <c r="F360">
        <v>62</v>
      </c>
      <c r="G360">
        <v>60</v>
      </c>
      <c r="H360">
        <v>66</v>
      </c>
      <c r="I360" t="s">
        <v>16</v>
      </c>
      <c r="J360">
        <v>8</v>
      </c>
      <c r="K360">
        <v>5</v>
      </c>
      <c r="L360">
        <v>188</v>
      </c>
      <c r="M360">
        <v>62.666666666666664</v>
      </c>
      <c r="N360" t="s">
        <v>199</v>
      </c>
      <c r="O360">
        <v>31.333333333333332</v>
      </c>
      <c r="P360" t="s">
        <v>16</v>
      </c>
      <c r="Q360" t="s">
        <v>212</v>
      </c>
      <c r="R360" t="s">
        <v>215</v>
      </c>
      <c r="S360" t="s">
        <v>196</v>
      </c>
      <c r="T360" t="s">
        <v>178</v>
      </c>
    </row>
    <row r="361" spans="1:20">
      <c r="A361">
        <v>227</v>
      </c>
      <c r="B361" t="s">
        <v>137</v>
      </c>
      <c r="C361" t="s">
        <v>12</v>
      </c>
      <c r="D361">
        <v>3</v>
      </c>
      <c r="E361">
        <v>82</v>
      </c>
      <c r="F361">
        <v>76</v>
      </c>
      <c r="G361">
        <v>75</v>
      </c>
      <c r="H361">
        <v>80</v>
      </c>
      <c r="I361" t="s">
        <v>16</v>
      </c>
      <c r="J361">
        <v>7</v>
      </c>
      <c r="K361">
        <v>4</v>
      </c>
      <c r="L361">
        <v>231</v>
      </c>
      <c r="M361">
        <v>77</v>
      </c>
      <c r="N361" t="s">
        <v>199</v>
      </c>
      <c r="O361">
        <v>25.666666666666668</v>
      </c>
      <c r="P361" t="s">
        <v>16</v>
      </c>
      <c r="Q361" t="s">
        <v>212</v>
      </c>
      <c r="R361" t="s">
        <v>215</v>
      </c>
      <c r="S361" t="s">
        <v>195</v>
      </c>
      <c r="T361" t="s">
        <v>179</v>
      </c>
    </row>
    <row r="362" spans="1:20">
      <c r="A362">
        <v>229</v>
      </c>
      <c r="B362" t="s">
        <v>139</v>
      </c>
      <c r="C362" t="s">
        <v>12</v>
      </c>
      <c r="D362">
        <v>2</v>
      </c>
      <c r="E362">
        <v>68</v>
      </c>
      <c r="F362">
        <v>60</v>
      </c>
      <c r="G362">
        <v>58</v>
      </c>
      <c r="H362">
        <v>64</v>
      </c>
      <c r="I362" t="s">
        <v>16</v>
      </c>
      <c r="J362">
        <v>8</v>
      </c>
      <c r="K362">
        <v>5</v>
      </c>
      <c r="L362">
        <v>182</v>
      </c>
      <c r="M362">
        <v>60.666666666666664</v>
      </c>
      <c r="N362" t="s">
        <v>199</v>
      </c>
      <c r="O362">
        <v>30.333333333333332</v>
      </c>
      <c r="P362" t="s">
        <v>16</v>
      </c>
      <c r="Q362" t="s">
        <v>212</v>
      </c>
      <c r="R362" t="s">
        <v>215</v>
      </c>
      <c r="S362" t="s">
        <v>196</v>
      </c>
      <c r="T362" t="s">
        <v>178</v>
      </c>
    </row>
    <row r="363" spans="1:20">
      <c r="A363">
        <v>232</v>
      </c>
      <c r="B363" t="s">
        <v>142</v>
      </c>
      <c r="C363" t="s">
        <v>15</v>
      </c>
      <c r="D363">
        <v>3</v>
      </c>
      <c r="E363">
        <v>79</v>
      </c>
      <c r="F363">
        <v>74</v>
      </c>
      <c r="G363">
        <v>72</v>
      </c>
      <c r="H363">
        <v>77</v>
      </c>
      <c r="I363" t="s">
        <v>13</v>
      </c>
      <c r="J363">
        <v>7</v>
      </c>
      <c r="K363">
        <v>4</v>
      </c>
      <c r="L363">
        <v>223</v>
      </c>
      <c r="M363">
        <v>74.333333333333329</v>
      </c>
      <c r="N363" t="s">
        <v>199</v>
      </c>
      <c r="O363">
        <v>24.777777777777775</v>
      </c>
      <c r="P363" t="s">
        <v>16</v>
      </c>
      <c r="Q363" t="s">
        <v>212</v>
      </c>
      <c r="R363" t="s">
        <v>215</v>
      </c>
      <c r="S363" t="s">
        <v>196</v>
      </c>
      <c r="T363" t="s">
        <v>179</v>
      </c>
    </row>
    <row r="364" spans="1:20">
      <c r="A364">
        <v>234</v>
      </c>
      <c r="B364" t="s">
        <v>33</v>
      </c>
      <c r="C364" t="s">
        <v>12</v>
      </c>
      <c r="D364">
        <v>3</v>
      </c>
      <c r="E364">
        <v>80</v>
      </c>
      <c r="F364">
        <v>75</v>
      </c>
      <c r="G364">
        <v>73</v>
      </c>
      <c r="H364">
        <v>78</v>
      </c>
      <c r="I364" t="s">
        <v>16</v>
      </c>
      <c r="J364">
        <v>7</v>
      </c>
      <c r="K364">
        <v>4</v>
      </c>
      <c r="L364">
        <v>226</v>
      </c>
      <c r="M364">
        <v>75.333333333333329</v>
      </c>
      <c r="N364" t="s">
        <v>199</v>
      </c>
      <c r="O364">
        <v>25.111111111111111</v>
      </c>
      <c r="P364" t="s">
        <v>16</v>
      </c>
      <c r="Q364" t="s">
        <v>212</v>
      </c>
      <c r="R364" t="s">
        <v>215</v>
      </c>
      <c r="S364" t="s">
        <v>195</v>
      </c>
      <c r="T364" t="s">
        <v>179</v>
      </c>
    </row>
    <row r="365" spans="1:20">
      <c r="A365">
        <v>236</v>
      </c>
      <c r="B365" t="s">
        <v>145</v>
      </c>
      <c r="C365" t="s">
        <v>12</v>
      </c>
      <c r="D365">
        <v>2</v>
      </c>
      <c r="E365">
        <v>70</v>
      </c>
      <c r="F365">
        <v>62</v>
      </c>
      <c r="G365">
        <v>60</v>
      </c>
      <c r="H365">
        <v>66</v>
      </c>
      <c r="I365" t="s">
        <v>16</v>
      </c>
      <c r="J365">
        <v>8</v>
      </c>
      <c r="K365">
        <v>5</v>
      </c>
      <c r="L365">
        <v>188</v>
      </c>
      <c r="M365">
        <v>62.666666666666664</v>
      </c>
      <c r="N365" t="s">
        <v>199</v>
      </c>
      <c r="O365">
        <v>31.333333333333332</v>
      </c>
      <c r="P365" t="s">
        <v>16</v>
      </c>
      <c r="Q365" t="s">
        <v>212</v>
      </c>
      <c r="R365" t="s">
        <v>215</v>
      </c>
      <c r="S365" t="s">
        <v>196</v>
      </c>
      <c r="T365" t="s">
        <v>178</v>
      </c>
    </row>
    <row r="366" spans="1:20">
      <c r="A366">
        <v>238</v>
      </c>
      <c r="B366" t="s">
        <v>147</v>
      </c>
      <c r="C366" t="s">
        <v>12</v>
      </c>
      <c r="D366">
        <v>3</v>
      </c>
      <c r="E366">
        <v>78</v>
      </c>
      <c r="F366">
        <v>72</v>
      </c>
      <c r="G366">
        <v>70</v>
      </c>
      <c r="H366">
        <v>75</v>
      </c>
      <c r="I366" t="s">
        <v>13</v>
      </c>
      <c r="J366">
        <v>7</v>
      </c>
      <c r="K366">
        <v>4</v>
      </c>
      <c r="L366">
        <v>217</v>
      </c>
      <c r="M366">
        <v>72.333333333333329</v>
      </c>
      <c r="N366" t="s">
        <v>199</v>
      </c>
      <c r="O366">
        <v>24.111111111111111</v>
      </c>
      <c r="P366" t="s">
        <v>16</v>
      </c>
      <c r="Q366" t="s">
        <v>212</v>
      </c>
      <c r="R366" t="s">
        <v>215</v>
      </c>
      <c r="S366" t="s">
        <v>196</v>
      </c>
      <c r="T366" t="s">
        <v>179</v>
      </c>
    </row>
    <row r="367" spans="1:20">
      <c r="A367">
        <v>241</v>
      </c>
      <c r="B367" t="s">
        <v>150</v>
      </c>
      <c r="C367" t="s">
        <v>15</v>
      </c>
      <c r="D367">
        <v>3</v>
      </c>
      <c r="E367">
        <v>79</v>
      </c>
      <c r="F367">
        <v>74</v>
      </c>
      <c r="G367">
        <v>72</v>
      </c>
      <c r="H367">
        <v>76</v>
      </c>
      <c r="I367" t="s">
        <v>13</v>
      </c>
      <c r="J367">
        <v>7</v>
      </c>
      <c r="K367">
        <v>4</v>
      </c>
      <c r="L367">
        <v>222</v>
      </c>
      <c r="M367">
        <v>74</v>
      </c>
      <c r="N367" t="s">
        <v>199</v>
      </c>
      <c r="O367">
        <v>24.666666666666668</v>
      </c>
      <c r="P367" t="s">
        <v>16</v>
      </c>
      <c r="Q367" t="s">
        <v>212</v>
      </c>
      <c r="R367" t="s">
        <v>215</v>
      </c>
      <c r="S367" t="s">
        <v>196</v>
      </c>
      <c r="T367" t="s">
        <v>179</v>
      </c>
    </row>
    <row r="368" spans="1:20">
      <c r="A368">
        <v>242</v>
      </c>
      <c r="B368" t="s">
        <v>151</v>
      </c>
      <c r="C368" t="s">
        <v>12</v>
      </c>
      <c r="D368">
        <v>2</v>
      </c>
      <c r="E368">
        <v>72</v>
      </c>
      <c r="F368">
        <v>65</v>
      </c>
      <c r="G368">
        <v>64</v>
      </c>
      <c r="H368">
        <v>68</v>
      </c>
      <c r="I368" t="s">
        <v>16</v>
      </c>
      <c r="J368">
        <v>8</v>
      </c>
      <c r="K368">
        <v>5</v>
      </c>
      <c r="L368">
        <v>197</v>
      </c>
      <c r="M368">
        <v>65.666666666666671</v>
      </c>
      <c r="N368" t="s">
        <v>199</v>
      </c>
      <c r="O368">
        <v>32.833333333333336</v>
      </c>
      <c r="P368" t="s">
        <v>16</v>
      </c>
      <c r="Q368" t="s">
        <v>212</v>
      </c>
      <c r="R368" t="s">
        <v>215</v>
      </c>
      <c r="S368" t="s">
        <v>196</v>
      </c>
      <c r="T368" t="s">
        <v>178</v>
      </c>
    </row>
    <row r="369" spans="1:20">
      <c r="A369">
        <v>244</v>
      </c>
      <c r="B369" t="s">
        <v>152</v>
      </c>
      <c r="C369" t="s">
        <v>12</v>
      </c>
      <c r="D369">
        <v>3</v>
      </c>
      <c r="E369">
        <v>80</v>
      </c>
      <c r="F369">
        <v>75</v>
      </c>
      <c r="G369">
        <v>73</v>
      </c>
      <c r="H369">
        <v>78</v>
      </c>
      <c r="I369" t="s">
        <v>16</v>
      </c>
      <c r="J369">
        <v>7</v>
      </c>
      <c r="K369">
        <v>4</v>
      </c>
      <c r="L369">
        <v>226</v>
      </c>
      <c r="M369">
        <v>75.333333333333329</v>
      </c>
      <c r="N369" t="s">
        <v>199</v>
      </c>
      <c r="O369">
        <v>25.111111111111111</v>
      </c>
      <c r="P369" t="s">
        <v>16</v>
      </c>
      <c r="Q369" t="s">
        <v>212</v>
      </c>
      <c r="R369" t="s">
        <v>215</v>
      </c>
      <c r="S369" t="s">
        <v>195</v>
      </c>
      <c r="T369" t="s">
        <v>179</v>
      </c>
    </row>
    <row r="370" spans="1:20">
      <c r="A370">
        <v>246</v>
      </c>
      <c r="B370" t="s">
        <v>35</v>
      </c>
      <c r="C370" t="s">
        <v>12</v>
      </c>
      <c r="D370">
        <v>2</v>
      </c>
      <c r="E370">
        <v>70</v>
      </c>
      <c r="F370">
        <v>62</v>
      </c>
      <c r="G370">
        <v>60</v>
      </c>
      <c r="H370">
        <v>66</v>
      </c>
      <c r="I370" t="s">
        <v>16</v>
      </c>
      <c r="J370">
        <v>8</v>
      </c>
      <c r="K370">
        <v>5</v>
      </c>
      <c r="L370">
        <v>188</v>
      </c>
      <c r="M370">
        <v>62.666666666666664</v>
      </c>
      <c r="N370" t="s">
        <v>199</v>
      </c>
      <c r="O370">
        <v>31.333333333333332</v>
      </c>
      <c r="P370" t="s">
        <v>16</v>
      </c>
      <c r="Q370" t="s">
        <v>212</v>
      </c>
      <c r="R370" t="s">
        <v>215</v>
      </c>
      <c r="S370" t="s">
        <v>196</v>
      </c>
      <c r="T370" t="s">
        <v>178</v>
      </c>
    </row>
    <row r="371" spans="1:20">
      <c r="A371">
        <v>248</v>
      </c>
      <c r="B371" t="s">
        <v>71</v>
      </c>
      <c r="C371" t="s">
        <v>12</v>
      </c>
      <c r="D371">
        <v>3</v>
      </c>
      <c r="E371">
        <v>78</v>
      </c>
      <c r="F371">
        <v>72</v>
      </c>
      <c r="G371">
        <v>70</v>
      </c>
      <c r="H371">
        <v>75</v>
      </c>
      <c r="I371" t="s">
        <v>13</v>
      </c>
      <c r="J371">
        <v>7</v>
      </c>
      <c r="K371">
        <v>4</v>
      </c>
      <c r="L371">
        <v>217</v>
      </c>
      <c r="M371">
        <v>72.333333333333329</v>
      </c>
      <c r="N371" t="s">
        <v>199</v>
      </c>
      <c r="O371">
        <v>24.111111111111111</v>
      </c>
      <c r="P371" t="s">
        <v>16</v>
      </c>
      <c r="Q371" t="s">
        <v>212</v>
      </c>
      <c r="R371" t="s">
        <v>215</v>
      </c>
      <c r="S371" t="s">
        <v>196</v>
      </c>
      <c r="T371" t="s">
        <v>179</v>
      </c>
    </row>
    <row r="372" spans="1:20">
      <c r="A372">
        <v>251</v>
      </c>
      <c r="B372" t="s">
        <v>165</v>
      </c>
      <c r="C372" t="s">
        <v>12</v>
      </c>
      <c r="D372">
        <v>3</v>
      </c>
      <c r="E372">
        <v>80</v>
      </c>
      <c r="F372">
        <v>75</v>
      </c>
      <c r="G372">
        <v>73</v>
      </c>
      <c r="H372">
        <v>78</v>
      </c>
      <c r="I372" t="s">
        <v>13</v>
      </c>
      <c r="J372">
        <v>7</v>
      </c>
      <c r="K372">
        <v>4</v>
      </c>
      <c r="L372">
        <v>226</v>
      </c>
      <c r="M372">
        <v>75.333333333333329</v>
      </c>
      <c r="N372" t="s">
        <v>199</v>
      </c>
      <c r="O372">
        <v>25.111111111111111</v>
      </c>
      <c r="P372" t="s">
        <v>16</v>
      </c>
      <c r="Q372" t="s">
        <v>212</v>
      </c>
      <c r="R372" t="s">
        <v>215</v>
      </c>
      <c r="S372" t="s">
        <v>195</v>
      </c>
      <c r="T372" t="s">
        <v>179</v>
      </c>
    </row>
    <row r="373" spans="1:20">
      <c r="A373">
        <v>254</v>
      </c>
      <c r="B373" t="s">
        <v>160</v>
      </c>
      <c r="C373" t="s">
        <v>12</v>
      </c>
      <c r="D373">
        <v>2</v>
      </c>
      <c r="E373">
        <v>70</v>
      </c>
      <c r="F373">
        <v>62</v>
      </c>
      <c r="G373">
        <v>60</v>
      </c>
      <c r="H373">
        <v>66</v>
      </c>
      <c r="I373" t="s">
        <v>16</v>
      </c>
      <c r="J373">
        <v>8</v>
      </c>
      <c r="K373">
        <v>5</v>
      </c>
      <c r="L373">
        <v>188</v>
      </c>
      <c r="M373">
        <v>62.666666666666664</v>
      </c>
      <c r="N373" t="s">
        <v>199</v>
      </c>
      <c r="O373">
        <v>31.333333333333332</v>
      </c>
      <c r="P373" t="s">
        <v>16</v>
      </c>
      <c r="Q373" t="s">
        <v>212</v>
      </c>
      <c r="R373" t="s">
        <v>215</v>
      </c>
      <c r="S373" t="s">
        <v>196</v>
      </c>
      <c r="T373" t="s">
        <v>178</v>
      </c>
    </row>
    <row r="374" spans="1:20">
      <c r="A374">
        <v>256</v>
      </c>
      <c r="B374" t="s">
        <v>71</v>
      </c>
      <c r="C374" t="s">
        <v>12</v>
      </c>
      <c r="D374">
        <v>3</v>
      </c>
      <c r="E374">
        <v>78</v>
      </c>
      <c r="F374">
        <v>72</v>
      </c>
      <c r="G374">
        <v>70</v>
      </c>
      <c r="H374">
        <v>75</v>
      </c>
      <c r="I374" t="s">
        <v>13</v>
      </c>
      <c r="J374">
        <v>7</v>
      </c>
      <c r="K374">
        <v>4</v>
      </c>
      <c r="L374">
        <v>217</v>
      </c>
      <c r="M374">
        <v>72.333333333333329</v>
      </c>
      <c r="N374" t="s">
        <v>199</v>
      </c>
      <c r="O374">
        <v>24.111111111111111</v>
      </c>
      <c r="P374" t="s">
        <v>16</v>
      </c>
      <c r="Q374" t="s">
        <v>212</v>
      </c>
      <c r="R374" t="s">
        <v>215</v>
      </c>
      <c r="S374" t="s">
        <v>196</v>
      </c>
      <c r="T374" t="s">
        <v>179</v>
      </c>
    </row>
    <row r="375" spans="1:20">
      <c r="A375">
        <v>259</v>
      </c>
      <c r="B375" t="s">
        <v>160</v>
      </c>
      <c r="C375" t="s">
        <v>12</v>
      </c>
      <c r="D375">
        <v>2</v>
      </c>
      <c r="E375">
        <v>70</v>
      </c>
      <c r="F375">
        <v>62</v>
      </c>
      <c r="G375">
        <v>60</v>
      </c>
      <c r="H375">
        <v>66</v>
      </c>
      <c r="I375" t="s">
        <v>16</v>
      </c>
      <c r="J375">
        <v>8</v>
      </c>
      <c r="K375">
        <v>5</v>
      </c>
      <c r="L375">
        <v>188</v>
      </c>
      <c r="M375">
        <v>62.666666666666664</v>
      </c>
      <c r="N375" t="s">
        <v>199</v>
      </c>
      <c r="O375">
        <v>31.333333333333332</v>
      </c>
      <c r="P375" t="s">
        <v>16</v>
      </c>
      <c r="Q375" t="s">
        <v>212</v>
      </c>
      <c r="R375" t="s">
        <v>215</v>
      </c>
      <c r="S375" t="s">
        <v>196</v>
      </c>
      <c r="T375" t="s">
        <v>178</v>
      </c>
    </row>
    <row r="376" spans="1:20">
      <c r="A376">
        <v>262</v>
      </c>
      <c r="B376" t="s">
        <v>165</v>
      </c>
      <c r="C376" t="s">
        <v>12</v>
      </c>
      <c r="D376">
        <v>2</v>
      </c>
      <c r="E376">
        <v>68</v>
      </c>
      <c r="F376">
        <v>60</v>
      </c>
      <c r="G376">
        <v>58</v>
      </c>
      <c r="H376">
        <v>64</v>
      </c>
      <c r="I376" t="s">
        <v>16</v>
      </c>
      <c r="J376">
        <v>8</v>
      </c>
      <c r="K376">
        <v>5</v>
      </c>
      <c r="L376">
        <v>182</v>
      </c>
      <c r="M376">
        <v>60.666666666666664</v>
      </c>
      <c r="N376" t="s">
        <v>199</v>
      </c>
      <c r="O376">
        <v>30.333333333333332</v>
      </c>
      <c r="P376" t="s">
        <v>16</v>
      </c>
      <c r="Q376" t="s">
        <v>212</v>
      </c>
      <c r="R376" t="s">
        <v>215</v>
      </c>
      <c r="S376" t="s">
        <v>196</v>
      </c>
      <c r="T376" t="s">
        <v>178</v>
      </c>
    </row>
    <row r="377" spans="1:20">
      <c r="A377">
        <v>265</v>
      </c>
      <c r="B377" t="s">
        <v>37</v>
      </c>
      <c r="C377" t="s">
        <v>12</v>
      </c>
      <c r="D377">
        <v>3</v>
      </c>
      <c r="E377">
        <v>80</v>
      </c>
      <c r="F377">
        <v>75</v>
      </c>
      <c r="G377">
        <v>73</v>
      </c>
      <c r="H377">
        <v>78</v>
      </c>
      <c r="I377" t="s">
        <v>13</v>
      </c>
      <c r="J377">
        <v>7</v>
      </c>
      <c r="K377">
        <v>4</v>
      </c>
      <c r="L377">
        <v>226</v>
      </c>
      <c r="M377">
        <v>75.333333333333329</v>
      </c>
      <c r="N377" t="s">
        <v>199</v>
      </c>
      <c r="O377">
        <v>25.111111111111111</v>
      </c>
      <c r="P377" t="s">
        <v>16</v>
      </c>
      <c r="Q377" t="s">
        <v>212</v>
      </c>
      <c r="R377" t="s">
        <v>215</v>
      </c>
      <c r="S377" t="s">
        <v>195</v>
      </c>
      <c r="T377" t="s">
        <v>179</v>
      </c>
    </row>
    <row r="378" spans="1:20">
      <c r="A378">
        <v>267</v>
      </c>
      <c r="B378" t="s">
        <v>39</v>
      </c>
      <c r="C378" t="s">
        <v>12</v>
      </c>
      <c r="D378">
        <v>2</v>
      </c>
      <c r="E378">
        <v>70</v>
      </c>
      <c r="F378">
        <v>62</v>
      </c>
      <c r="G378">
        <v>60</v>
      </c>
      <c r="H378">
        <v>66</v>
      </c>
      <c r="I378" t="s">
        <v>16</v>
      </c>
      <c r="J378">
        <v>8</v>
      </c>
      <c r="K378">
        <v>5</v>
      </c>
      <c r="L378">
        <v>188</v>
      </c>
      <c r="M378">
        <v>62.666666666666664</v>
      </c>
      <c r="N378" t="s">
        <v>199</v>
      </c>
      <c r="O378">
        <v>31.333333333333332</v>
      </c>
      <c r="P378" t="s">
        <v>16</v>
      </c>
      <c r="Q378" t="s">
        <v>212</v>
      </c>
      <c r="R378" t="s">
        <v>215</v>
      </c>
      <c r="S378" t="s">
        <v>196</v>
      </c>
      <c r="T378" t="s">
        <v>178</v>
      </c>
    </row>
    <row r="379" spans="1:20">
      <c r="A379">
        <v>271</v>
      </c>
      <c r="B379" t="s">
        <v>33</v>
      </c>
      <c r="C379" t="s">
        <v>12</v>
      </c>
      <c r="D379">
        <v>3</v>
      </c>
      <c r="E379">
        <v>82</v>
      </c>
      <c r="F379">
        <v>76</v>
      </c>
      <c r="G379">
        <v>75</v>
      </c>
      <c r="H379">
        <v>80</v>
      </c>
      <c r="I379" t="s">
        <v>16</v>
      </c>
      <c r="J379">
        <v>7</v>
      </c>
      <c r="K379">
        <v>4</v>
      </c>
      <c r="L379">
        <v>231</v>
      </c>
      <c r="M379">
        <v>77</v>
      </c>
      <c r="N379" t="s">
        <v>199</v>
      </c>
      <c r="O379">
        <v>25.666666666666668</v>
      </c>
      <c r="P379" t="s">
        <v>16</v>
      </c>
      <c r="Q379" t="s">
        <v>212</v>
      </c>
      <c r="R379" t="s">
        <v>215</v>
      </c>
      <c r="S379" t="s">
        <v>195</v>
      </c>
      <c r="T379" t="s">
        <v>179</v>
      </c>
    </row>
    <row r="380" spans="1:20">
      <c r="A380">
        <v>274</v>
      </c>
      <c r="B380" t="s">
        <v>93</v>
      </c>
      <c r="C380" t="s">
        <v>15</v>
      </c>
      <c r="D380">
        <v>3</v>
      </c>
      <c r="E380">
        <v>79</v>
      </c>
      <c r="F380">
        <v>74</v>
      </c>
      <c r="G380">
        <v>72</v>
      </c>
      <c r="H380">
        <v>76</v>
      </c>
      <c r="I380" t="s">
        <v>13</v>
      </c>
      <c r="J380">
        <v>7</v>
      </c>
      <c r="K380">
        <v>4</v>
      </c>
      <c r="L380">
        <v>222</v>
      </c>
      <c r="M380">
        <v>74</v>
      </c>
      <c r="N380" t="s">
        <v>199</v>
      </c>
      <c r="O380">
        <v>24.666666666666668</v>
      </c>
      <c r="P380" t="s">
        <v>16</v>
      </c>
      <c r="Q380" t="s">
        <v>212</v>
      </c>
      <c r="R380" t="s">
        <v>215</v>
      </c>
      <c r="S380" t="s">
        <v>196</v>
      </c>
      <c r="T380" t="s">
        <v>179</v>
      </c>
    </row>
    <row r="381" spans="1:20">
      <c r="A381">
        <v>275</v>
      </c>
      <c r="B381" t="s">
        <v>35</v>
      </c>
      <c r="C381" t="s">
        <v>12</v>
      </c>
      <c r="D381">
        <v>2</v>
      </c>
      <c r="E381">
        <v>70</v>
      </c>
      <c r="F381">
        <v>62</v>
      </c>
      <c r="G381">
        <v>60</v>
      </c>
      <c r="H381">
        <v>66</v>
      </c>
      <c r="I381" t="s">
        <v>16</v>
      </c>
      <c r="J381">
        <v>8</v>
      </c>
      <c r="K381">
        <v>5</v>
      </c>
      <c r="L381">
        <v>188</v>
      </c>
      <c r="M381">
        <v>62.666666666666664</v>
      </c>
      <c r="N381" t="s">
        <v>199</v>
      </c>
      <c r="O381">
        <v>31.333333333333332</v>
      </c>
      <c r="P381" t="s">
        <v>16</v>
      </c>
      <c r="Q381" t="s">
        <v>212</v>
      </c>
      <c r="R381" t="s">
        <v>215</v>
      </c>
      <c r="S381" t="s">
        <v>196</v>
      </c>
      <c r="T381" t="s">
        <v>178</v>
      </c>
    </row>
    <row r="382" spans="1:20">
      <c r="A382">
        <v>277</v>
      </c>
      <c r="B382" t="s">
        <v>27</v>
      </c>
      <c r="C382" t="s">
        <v>12</v>
      </c>
      <c r="D382">
        <v>3</v>
      </c>
      <c r="E382">
        <v>80</v>
      </c>
      <c r="F382">
        <v>75</v>
      </c>
      <c r="G382">
        <v>73</v>
      </c>
      <c r="H382">
        <v>78</v>
      </c>
      <c r="I382" t="s">
        <v>13</v>
      </c>
      <c r="J382">
        <v>7</v>
      </c>
      <c r="K382">
        <v>4</v>
      </c>
      <c r="L382">
        <v>226</v>
      </c>
      <c r="M382">
        <v>75.333333333333329</v>
      </c>
      <c r="N382" t="s">
        <v>199</v>
      </c>
      <c r="O382">
        <v>25.111111111111111</v>
      </c>
      <c r="P382" t="s">
        <v>16</v>
      </c>
      <c r="Q382" t="s">
        <v>212</v>
      </c>
      <c r="R382" t="s">
        <v>215</v>
      </c>
      <c r="S382" t="s">
        <v>195</v>
      </c>
      <c r="T382" t="s">
        <v>179</v>
      </c>
    </row>
    <row r="383" spans="1:20">
      <c r="A383">
        <v>279</v>
      </c>
      <c r="B383" t="s">
        <v>29</v>
      </c>
      <c r="C383" t="s">
        <v>12</v>
      </c>
      <c r="D383">
        <v>2</v>
      </c>
      <c r="E383">
        <v>68</v>
      </c>
      <c r="F383">
        <v>60</v>
      </c>
      <c r="G383">
        <v>58</v>
      </c>
      <c r="H383">
        <v>64</v>
      </c>
      <c r="I383" t="s">
        <v>16</v>
      </c>
      <c r="J383">
        <v>8</v>
      </c>
      <c r="K383">
        <v>5</v>
      </c>
      <c r="L383">
        <v>182</v>
      </c>
      <c r="M383">
        <v>60.666666666666664</v>
      </c>
      <c r="N383" t="s">
        <v>199</v>
      </c>
      <c r="O383">
        <v>30.333333333333332</v>
      </c>
      <c r="P383" t="s">
        <v>16</v>
      </c>
      <c r="Q383" t="s">
        <v>212</v>
      </c>
      <c r="R383" t="s">
        <v>215</v>
      </c>
      <c r="S383" t="s">
        <v>196</v>
      </c>
      <c r="T383" t="s">
        <v>178</v>
      </c>
    </row>
    <row r="384" spans="1:20">
      <c r="A384">
        <v>281</v>
      </c>
      <c r="B384" t="s">
        <v>49</v>
      </c>
      <c r="C384" t="s">
        <v>12</v>
      </c>
      <c r="D384">
        <v>3</v>
      </c>
      <c r="E384">
        <v>78</v>
      </c>
      <c r="F384">
        <v>72</v>
      </c>
      <c r="G384">
        <v>70</v>
      </c>
      <c r="H384">
        <v>75</v>
      </c>
      <c r="I384" t="s">
        <v>13</v>
      </c>
      <c r="J384">
        <v>7</v>
      </c>
      <c r="K384">
        <v>4</v>
      </c>
      <c r="L384">
        <v>217</v>
      </c>
      <c r="M384">
        <v>72.333333333333329</v>
      </c>
      <c r="N384" t="s">
        <v>199</v>
      </c>
      <c r="O384">
        <v>24.111111111111111</v>
      </c>
      <c r="P384" t="s">
        <v>16</v>
      </c>
      <c r="Q384" t="s">
        <v>212</v>
      </c>
      <c r="R384" t="s">
        <v>215</v>
      </c>
      <c r="S384" t="s">
        <v>196</v>
      </c>
      <c r="T384" t="s">
        <v>179</v>
      </c>
    </row>
    <row r="385" spans="1:20">
      <c r="A385">
        <v>284</v>
      </c>
      <c r="B385" t="s">
        <v>36</v>
      </c>
      <c r="C385" t="s">
        <v>15</v>
      </c>
      <c r="D385">
        <v>3</v>
      </c>
      <c r="E385">
        <v>79</v>
      </c>
      <c r="F385">
        <v>74</v>
      </c>
      <c r="G385">
        <v>72</v>
      </c>
      <c r="H385">
        <v>76</v>
      </c>
      <c r="I385" t="s">
        <v>13</v>
      </c>
      <c r="J385">
        <v>7</v>
      </c>
      <c r="K385">
        <v>4</v>
      </c>
      <c r="L385">
        <v>222</v>
      </c>
      <c r="M385">
        <v>74</v>
      </c>
      <c r="N385" t="s">
        <v>199</v>
      </c>
      <c r="O385">
        <v>24.666666666666668</v>
      </c>
      <c r="P385" t="s">
        <v>16</v>
      </c>
      <c r="Q385" t="s">
        <v>212</v>
      </c>
      <c r="R385" t="s">
        <v>215</v>
      </c>
      <c r="S385" t="s">
        <v>196</v>
      </c>
      <c r="T385" t="s">
        <v>179</v>
      </c>
    </row>
    <row r="386" spans="1:20">
      <c r="A386">
        <v>285</v>
      </c>
      <c r="B386" t="s">
        <v>23</v>
      </c>
      <c r="C386" t="s">
        <v>12</v>
      </c>
      <c r="D386">
        <v>2</v>
      </c>
      <c r="E386">
        <v>70</v>
      </c>
      <c r="F386">
        <v>62</v>
      </c>
      <c r="G386">
        <v>60</v>
      </c>
      <c r="H386">
        <v>66</v>
      </c>
      <c r="I386" t="s">
        <v>16</v>
      </c>
      <c r="J386">
        <v>8</v>
      </c>
      <c r="K386">
        <v>5</v>
      </c>
      <c r="L386">
        <v>188</v>
      </c>
      <c r="M386">
        <v>62.666666666666664</v>
      </c>
      <c r="N386" t="s">
        <v>199</v>
      </c>
      <c r="O386">
        <v>31.333333333333332</v>
      </c>
      <c r="P386" t="s">
        <v>16</v>
      </c>
      <c r="Q386" t="s">
        <v>212</v>
      </c>
      <c r="R386" t="s">
        <v>215</v>
      </c>
      <c r="S386" t="s">
        <v>196</v>
      </c>
      <c r="T386" t="s">
        <v>178</v>
      </c>
    </row>
    <row r="387" spans="1:20">
      <c r="A387">
        <v>287</v>
      </c>
      <c r="B387" t="s">
        <v>59</v>
      </c>
      <c r="C387" t="s">
        <v>12</v>
      </c>
      <c r="D387">
        <v>3</v>
      </c>
      <c r="E387">
        <v>82</v>
      </c>
      <c r="F387">
        <v>76</v>
      </c>
      <c r="G387">
        <v>75</v>
      </c>
      <c r="H387">
        <v>80</v>
      </c>
      <c r="I387" t="s">
        <v>16</v>
      </c>
      <c r="J387">
        <v>7</v>
      </c>
      <c r="K387">
        <v>4</v>
      </c>
      <c r="L387">
        <v>231</v>
      </c>
      <c r="M387">
        <v>77</v>
      </c>
      <c r="N387" t="s">
        <v>199</v>
      </c>
      <c r="O387">
        <v>25.666666666666668</v>
      </c>
      <c r="P387" t="s">
        <v>16</v>
      </c>
      <c r="Q387" t="s">
        <v>212</v>
      </c>
      <c r="R387" t="s">
        <v>215</v>
      </c>
      <c r="S387" t="s">
        <v>195</v>
      </c>
      <c r="T387" t="s">
        <v>179</v>
      </c>
    </row>
    <row r="388" spans="1:20">
      <c r="A388">
        <v>289</v>
      </c>
      <c r="B388" t="s">
        <v>45</v>
      </c>
      <c r="C388" t="s">
        <v>12</v>
      </c>
      <c r="D388">
        <v>2</v>
      </c>
      <c r="E388">
        <v>68</v>
      </c>
      <c r="F388">
        <v>60</v>
      </c>
      <c r="G388">
        <v>58</v>
      </c>
      <c r="H388">
        <v>64</v>
      </c>
      <c r="I388" t="s">
        <v>16</v>
      </c>
      <c r="J388">
        <v>8</v>
      </c>
      <c r="K388">
        <v>5</v>
      </c>
      <c r="L388">
        <v>182</v>
      </c>
      <c r="M388">
        <v>60.666666666666664</v>
      </c>
      <c r="N388" t="s">
        <v>199</v>
      </c>
      <c r="O388">
        <v>30.333333333333332</v>
      </c>
      <c r="P388" t="s">
        <v>16</v>
      </c>
      <c r="Q388" t="s">
        <v>212</v>
      </c>
      <c r="R388" t="s">
        <v>215</v>
      </c>
      <c r="S388" t="s">
        <v>196</v>
      </c>
      <c r="T388" t="s">
        <v>178</v>
      </c>
    </row>
    <row r="389" spans="1:20">
      <c r="A389">
        <v>291</v>
      </c>
      <c r="B389" t="s">
        <v>63</v>
      </c>
      <c r="C389" t="s">
        <v>12</v>
      </c>
      <c r="D389">
        <v>3</v>
      </c>
      <c r="E389">
        <v>78</v>
      </c>
      <c r="F389">
        <v>72</v>
      </c>
      <c r="G389">
        <v>70</v>
      </c>
      <c r="H389">
        <v>75</v>
      </c>
      <c r="I389" t="s">
        <v>13</v>
      </c>
      <c r="J389">
        <v>7</v>
      </c>
      <c r="K389">
        <v>4</v>
      </c>
      <c r="L389">
        <v>217</v>
      </c>
      <c r="M389">
        <v>72.333333333333329</v>
      </c>
      <c r="N389" t="s">
        <v>199</v>
      </c>
      <c r="O389">
        <v>24.111111111111111</v>
      </c>
      <c r="P389" t="s">
        <v>16</v>
      </c>
      <c r="Q389" t="s">
        <v>212</v>
      </c>
      <c r="R389" t="s">
        <v>215</v>
      </c>
      <c r="S389" t="s">
        <v>196</v>
      </c>
      <c r="T389" t="s">
        <v>179</v>
      </c>
    </row>
    <row r="390" spans="1:20">
      <c r="A390">
        <v>294</v>
      </c>
      <c r="B390" t="s">
        <v>85</v>
      </c>
      <c r="C390" t="s">
        <v>12</v>
      </c>
      <c r="D390">
        <v>2</v>
      </c>
      <c r="E390">
        <v>70</v>
      </c>
      <c r="F390">
        <v>62</v>
      </c>
      <c r="G390">
        <v>60</v>
      </c>
      <c r="H390">
        <v>66</v>
      </c>
      <c r="I390" t="s">
        <v>16</v>
      </c>
      <c r="J390">
        <v>8</v>
      </c>
      <c r="K390">
        <v>5</v>
      </c>
      <c r="L390">
        <v>188</v>
      </c>
      <c r="M390">
        <v>62.666666666666664</v>
      </c>
      <c r="N390" t="s">
        <v>199</v>
      </c>
      <c r="O390">
        <v>31.333333333333332</v>
      </c>
      <c r="P390" t="s">
        <v>16</v>
      </c>
      <c r="Q390" t="s">
        <v>212</v>
      </c>
      <c r="R390" t="s">
        <v>215</v>
      </c>
      <c r="S390" t="s">
        <v>196</v>
      </c>
      <c r="T390" t="s">
        <v>178</v>
      </c>
    </row>
    <row r="391" spans="1:20">
      <c r="A391">
        <v>296</v>
      </c>
      <c r="B391" t="s">
        <v>147</v>
      </c>
      <c r="C391" t="s">
        <v>12</v>
      </c>
      <c r="D391">
        <v>3</v>
      </c>
      <c r="E391">
        <v>82</v>
      </c>
      <c r="F391">
        <v>76</v>
      </c>
      <c r="G391">
        <v>75</v>
      </c>
      <c r="H391">
        <v>80</v>
      </c>
      <c r="I391" t="s">
        <v>16</v>
      </c>
      <c r="J391">
        <v>7</v>
      </c>
      <c r="K391">
        <v>4</v>
      </c>
      <c r="L391">
        <v>231</v>
      </c>
      <c r="M391">
        <v>77</v>
      </c>
      <c r="N391" t="s">
        <v>199</v>
      </c>
      <c r="O391">
        <v>25.666666666666668</v>
      </c>
      <c r="P391" t="s">
        <v>16</v>
      </c>
      <c r="Q391" t="s">
        <v>212</v>
      </c>
      <c r="R391" t="s">
        <v>215</v>
      </c>
      <c r="S391" t="s">
        <v>195</v>
      </c>
      <c r="T391" t="s">
        <v>179</v>
      </c>
    </row>
    <row r="392" spans="1:20">
      <c r="A392">
        <v>298</v>
      </c>
      <c r="B392" t="s">
        <v>91</v>
      </c>
      <c r="C392" t="s">
        <v>15</v>
      </c>
      <c r="D392">
        <v>2</v>
      </c>
      <c r="E392">
        <v>68</v>
      </c>
      <c r="F392">
        <v>60</v>
      </c>
      <c r="G392">
        <v>58</v>
      </c>
      <c r="H392">
        <v>64</v>
      </c>
      <c r="I392" t="s">
        <v>16</v>
      </c>
      <c r="J392">
        <v>8</v>
      </c>
      <c r="K392">
        <v>5</v>
      </c>
      <c r="L392">
        <v>182</v>
      </c>
      <c r="M392">
        <v>60.666666666666664</v>
      </c>
      <c r="N392" t="s">
        <v>199</v>
      </c>
      <c r="O392">
        <v>30.333333333333332</v>
      </c>
      <c r="P392" t="s">
        <v>16</v>
      </c>
      <c r="Q392" t="s">
        <v>212</v>
      </c>
      <c r="R392" t="s">
        <v>215</v>
      </c>
      <c r="S392" t="s">
        <v>196</v>
      </c>
      <c r="T392" t="s">
        <v>178</v>
      </c>
    </row>
    <row r="393" spans="1:20">
      <c r="A393">
        <v>300</v>
      </c>
      <c r="B393" t="s">
        <v>57</v>
      </c>
      <c r="C393" t="s">
        <v>12</v>
      </c>
      <c r="D393">
        <v>3</v>
      </c>
      <c r="E393">
        <v>78</v>
      </c>
      <c r="F393">
        <v>72</v>
      </c>
      <c r="G393">
        <v>70</v>
      </c>
      <c r="H393">
        <v>75</v>
      </c>
      <c r="I393" t="s">
        <v>13</v>
      </c>
      <c r="J393">
        <v>7</v>
      </c>
      <c r="K393">
        <v>4</v>
      </c>
      <c r="L393">
        <v>217</v>
      </c>
      <c r="M393">
        <v>72.333333333333329</v>
      </c>
      <c r="N393" t="s">
        <v>199</v>
      </c>
      <c r="O393">
        <v>24.111111111111111</v>
      </c>
      <c r="P393" t="s">
        <v>16</v>
      </c>
      <c r="Q393" t="s">
        <v>212</v>
      </c>
      <c r="R393" t="s">
        <v>215</v>
      </c>
      <c r="S393" t="s">
        <v>196</v>
      </c>
      <c r="T393" t="s">
        <v>179</v>
      </c>
    </row>
    <row r="394" spans="1:20">
      <c r="A394">
        <v>302</v>
      </c>
      <c r="B394" t="s">
        <v>65</v>
      </c>
      <c r="C394" t="s">
        <v>12</v>
      </c>
      <c r="D394">
        <v>3</v>
      </c>
      <c r="E394">
        <v>85</v>
      </c>
      <c r="F394">
        <v>78</v>
      </c>
      <c r="G394">
        <v>72</v>
      </c>
      <c r="H394">
        <v>80</v>
      </c>
      <c r="I394" t="s">
        <v>13</v>
      </c>
      <c r="J394">
        <v>7</v>
      </c>
      <c r="K394">
        <v>3</v>
      </c>
      <c r="L394">
        <v>230</v>
      </c>
      <c r="M394">
        <v>76.666666666666671</v>
      </c>
      <c r="N394" t="s">
        <v>199</v>
      </c>
      <c r="O394">
        <v>25.555555555555557</v>
      </c>
      <c r="P394" t="s">
        <v>16</v>
      </c>
      <c r="Q394" t="s">
        <v>212</v>
      </c>
      <c r="R394" t="s">
        <v>215</v>
      </c>
      <c r="S394" t="s">
        <v>195</v>
      </c>
      <c r="T394" t="s">
        <v>179</v>
      </c>
    </row>
    <row r="395" spans="1:20">
      <c r="A395">
        <v>305</v>
      </c>
      <c r="B395" t="s">
        <v>71</v>
      </c>
      <c r="C395" t="s">
        <v>12</v>
      </c>
      <c r="D395">
        <v>3</v>
      </c>
      <c r="E395">
        <v>78</v>
      </c>
      <c r="F395">
        <v>72</v>
      </c>
      <c r="G395">
        <v>70</v>
      </c>
      <c r="H395">
        <v>75</v>
      </c>
      <c r="I395" t="s">
        <v>13</v>
      </c>
      <c r="J395">
        <v>7</v>
      </c>
      <c r="K395">
        <v>4</v>
      </c>
      <c r="L395">
        <v>217</v>
      </c>
      <c r="M395">
        <v>72.333333333333329</v>
      </c>
      <c r="N395" t="s">
        <v>199</v>
      </c>
      <c r="O395">
        <v>24.111111111111111</v>
      </c>
      <c r="P395" t="s">
        <v>16</v>
      </c>
      <c r="Q395" t="s">
        <v>212</v>
      </c>
      <c r="R395" t="s">
        <v>215</v>
      </c>
      <c r="S395" t="s">
        <v>196</v>
      </c>
      <c r="T395" t="s">
        <v>179</v>
      </c>
    </row>
    <row r="396" spans="1:20">
      <c r="A396">
        <v>309</v>
      </c>
      <c r="B396" t="s">
        <v>160</v>
      </c>
      <c r="C396" t="s">
        <v>12</v>
      </c>
      <c r="D396">
        <v>2</v>
      </c>
      <c r="E396">
        <v>70</v>
      </c>
      <c r="F396">
        <v>62</v>
      </c>
      <c r="G396">
        <v>60</v>
      </c>
      <c r="H396">
        <v>66</v>
      </c>
      <c r="I396" t="s">
        <v>16</v>
      </c>
      <c r="J396">
        <v>8</v>
      </c>
      <c r="K396">
        <v>5</v>
      </c>
      <c r="L396">
        <v>188</v>
      </c>
      <c r="M396">
        <v>62.666666666666664</v>
      </c>
      <c r="N396" t="s">
        <v>199</v>
      </c>
      <c r="O396">
        <v>31.333333333333332</v>
      </c>
      <c r="P396" t="s">
        <v>16</v>
      </c>
      <c r="Q396" t="s">
        <v>212</v>
      </c>
      <c r="R396" t="s">
        <v>215</v>
      </c>
      <c r="S396" t="s">
        <v>196</v>
      </c>
      <c r="T396" t="s">
        <v>178</v>
      </c>
    </row>
    <row r="397" spans="1:20">
      <c r="A397">
        <v>311</v>
      </c>
      <c r="B397" t="s">
        <v>71</v>
      </c>
      <c r="C397" t="s">
        <v>12</v>
      </c>
      <c r="D397">
        <v>3</v>
      </c>
      <c r="E397">
        <v>78</v>
      </c>
      <c r="F397">
        <v>72</v>
      </c>
      <c r="G397">
        <v>70</v>
      </c>
      <c r="H397">
        <v>75</v>
      </c>
      <c r="I397" t="s">
        <v>13</v>
      </c>
      <c r="J397">
        <v>7</v>
      </c>
      <c r="K397">
        <v>4</v>
      </c>
      <c r="L397">
        <v>217</v>
      </c>
      <c r="M397">
        <v>72.333333333333329</v>
      </c>
      <c r="N397" t="s">
        <v>199</v>
      </c>
      <c r="O397">
        <v>24.111111111111111</v>
      </c>
      <c r="P397" t="s">
        <v>16</v>
      </c>
      <c r="Q397" t="s">
        <v>212</v>
      </c>
      <c r="R397" t="s">
        <v>215</v>
      </c>
      <c r="S397" t="s">
        <v>196</v>
      </c>
      <c r="T397" t="s">
        <v>179</v>
      </c>
    </row>
    <row r="398" spans="1:20">
      <c r="A398">
        <v>313</v>
      </c>
      <c r="B398" t="s">
        <v>165</v>
      </c>
      <c r="C398" t="s">
        <v>12</v>
      </c>
      <c r="D398">
        <v>2</v>
      </c>
      <c r="E398">
        <v>68</v>
      </c>
      <c r="F398">
        <v>60</v>
      </c>
      <c r="G398">
        <v>58</v>
      </c>
      <c r="H398">
        <v>64</v>
      </c>
      <c r="I398" t="s">
        <v>16</v>
      </c>
      <c r="J398">
        <v>8</v>
      </c>
      <c r="K398">
        <v>5</v>
      </c>
      <c r="L398">
        <v>182</v>
      </c>
      <c r="M398">
        <v>60.666666666666664</v>
      </c>
      <c r="N398" t="s">
        <v>199</v>
      </c>
      <c r="O398">
        <v>30.333333333333332</v>
      </c>
      <c r="P398" t="s">
        <v>16</v>
      </c>
      <c r="Q398" t="s">
        <v>212</v>
      </c>
      <c r="R398" t="s">
        <v>215</v>
      </c>
      <c r="S398" t="s">
        <v>196</v>
      </c>
      <c r="T398" t="s">
        <v>178</v>
      </c>
    </row>
    <row r="399" spans="1:20">
      <c r="A399">
        <v>316</v>
      </c>
      <c r="B399" t="s">
        <v>37</v>
      </c>
      <c r="C399" t="s">
        <v>12</v>
      </c>
      <c r="D399">
        <v>3</v>
      </c>
      <c r="E399">
        <v>80</v>
      </c>
      <c r="F399">
        <v>75</v>
      </c>
      <c r="G399">
        <v>73</v>
      </c>
      <c r="H399">
        <v>78</v>
      </c>
      <c r="I399" t="s">
        <v>13</v>
      </c>
      <c r="J399">
        <v>7</v>
      </c>
      <c r="K399">
        <v>4</v>
      </c>
      <c r="L399">
        <v>226</v>
      </c>
      <c r="M399">
        <v>75.333333333333329</v>
      </c>
      <c r="N399" t="s">
        <v>199</v>
      </c>
      <c r="O399">
        <v>25.111111111111111</v>
      </c>
      <c r="P399" t="s">
        <v>16</v>
      </c>
      <c r="Q399" t="s">
        <v>212</v>
      </c>
      <c r="R399" t="s">
        <v>215</v>
      </c>
      <c r="S399" t="s">
        <v>195</v>
      </c>
      <c r="T399" t="s">
        <v>179</v>
      </c>
    </row>
    <row r="400" spans="1:20">
      <c r="A400">
        <v>318</v>
      </c>
      <c r="B400" t="s">
        <v>39</v>
      </c>
      <c r="C400" t="s">
        <v>12</v>
      </c>
      <c r="D400">
        <v>2</v>
      </c>
      <c r="E400">
        <v>70</v>
      </c>
      <c r="F400">
        <v>62</v>
      </c>
      <c r="G400">
        <v>60</v>
      </c>
      <c r="H400">
        <v>66</v>
      </c>
      <c r="I400" t="s">
        <v>16</v>
      </c>
      <c r="J400">
        <v>8</v>
      </c>
      <c r="K400">
        <v>5</v>
      </c>
      <c r="L400">
        <v>188</v>
      </c>
      <c r="M400">
        <v>62.666666666666664</v>
      </c>
      <c r="N400" t="s">
        <v>199</v>
      </c>
      <c r="O400">
        <v>31.333333333333332</v>
      </c>
      <c r="P400" t="s">
        <v>16</v>
      </c>
      <c r="Q400" t="s">
        <v>212</v>
      </c>
      <c r="R400" t="s">
        <v>215</v>
      </c>
      <c r="S400" t="s">
        <v>196</v>
      </c>
      <c r="T400" t="s">
        <v>178</v>
      </c>
    </row>
    <row r="401" spans="1:20">
      <c r="A401">
        <v>320</v>
      </c>
      <c r="B401" t="s">
        <v>71</v>
      </c>
      <c r="C401" t="s">
        <v>12</v>
      </c>
      <c r="D401">
        <v>3</v>
      </c>
      <c r="E401">
        <v>78</v>
      </c>
      <c r="F401">
        <v>72</v>
      </c>
      <c r="G401">
        <v>70</v>
      </c>
      <c r="H401">
        <v>75</v>
      </c>
      <c r="I401" t="s">
        <v>13</v>
      </c>
      <c r="J401">
        <v>7</v>
      </c>
      <c r="K401">
        <v>4</v>
      </c>
      <c r="L401">
        <v>217</v>
      </c>
      <c r="M401">
        <v>72.333333333333329</v>
      </c>
      <c r="N401" t="s">
        <v>199</v>
      </c>
      <c r="O401">
        <v>24.111111111111111</v>
      </c>
      <c r="P401" t="s">
        <v>16</v>
      </c>
      <c r="Q401" t="s">
        <v>212</v>
      </c>
      <c r="R401" t="s">
        <v>215</v>
      </c>
      <c r="S401" t="s">
        <v>196</v>
      </c>
      <c r="T401" t="s">
        <v>179</v>
      </c>
    </row>
    <row r="402" spans="1:20">
      <c r="A402">
        <v>324</v>
      </c>
      <c r="B402" t="s">
        <v>33</v>
      </c>
      <c r="C402" t="s">
        <v>12</v>
      </c>
      <c r="D402">
        <v>3</v>
      </c>
      <c r="E402">
        <v>82</v>
      </c>
      <c r="F402">
        <v>76</v>
      </c>
      <c r="G402">
        <v>75</v>
      </c>
      <c r="H402">
        <v>80</v>
      </c>
      <c r="I402" t="s">
        <v>16</v>
      </c>
      <c r="J402">
        <v>7</v>
      </c>
      <c r="K402">
        <v>4</v>
      </c>
      <c r="L402">
        <v>231</v>
      </c>
      <c r="M402">
        <v>77</v>
      </c>
      <c r="N402" t="s">
        <v>199</v>
      </c>
      <c r="O402">
        <v>25.666666666666668</v>
      </c>
      <c r="P402" t="s">
        <v>16</v>
      </c>
      <c r="Q402" t="s">
        <v>212</v>
      </c>
      <c r="R402" t="s">
        <v>215</v>
      </c>
      <c r="S402" t="s">
        <v>195</v>
      </c>
      <c r="T402" t="s">
        <v>179</v>
      </c>
    </row>
    <row r="403" spans="1:20">
      <c r="A403">
        <v>327</v>
      </c>
      <c r="B403" t="s">
        <v>93</v>
      </c>
      <c r="C403" t="s">
        <v>15</v>
      </c>
      <c r="D403">
        <v>3</v>
      </c>
      <c r="E403">
        <v>79</v>
      </c>
      <c r="F403">
        <v>74</v>
      </c>
      <c r="G403">
        <v>72</v>
      </c>
      <c r="H403">
        <v>76</v>
      </c>
      <c r="I403" t="s">
        <v>13</v>
      </c>
      <c r="J403">
        <v>7</v>
      </c>
      <c r="K403">
        <v>4</v>
      </c>
      <c r="L403">
        <v>222</v>
      </c>
      <c r="M403">
        <v>74</v>
      </c>
      <c r="N403" t="s">
        <v>199</v>
      </c>
      <c r="O403">
        <v>24.666666666666668</v>
      </c>
      <c r="P403" t="s">
        <v>16</v>
      </c>
      <c r="Q403" t="s">
        <v>212</v>
      </c>
      <c r="R403" t="s">
        <v>215</v>
      </c>
      <c r="S403" t="s">
        <v>196</v>
      </c>
      <c r="T403" t="s">
        <v>179</v>
      </c>
    </row>
    <row r="404" spans="1:20">
      <c r="A404">
        <v>328</v>
      </c>
      <c r="B404" t="s">
        <v>35</v>
      </c>
      <c r="C404" t="s">
        <v>12</v>
      </c>
      <c r="D404">
        <v>2</v>
      </c>
      <c r="E404">
        <v>70</v>
      </c>
      <c r="F404">
        <v>62</v>
      </c>
      <c r="G404">
        <v>60</v>
      </c>
      <c r="H404">
        <v>66</v>
      </c>
      <c r="I404" t="s">
        <v>16</v>
      </c>
      <c r="J404">
        <v>8</v>
      </c>
      <c r="K404">
        <v>5</v>
      </c>
      <c r="L404">
        <v>188</v>
      </c>
      <c r="M404">
        <v>62.666666666666664</v>
      </c>
      <c r="N404" t="s">
        <v>199</v>
      </c>
      <c r="O404">
        <v>31.333333333333332</v>
      </c>
      <c r="P404" t="s">
        <v>16</v>
      </c>
      <c r="Q404" t="s">
        <v>212</v>
      </c>
      <c r="R404" t="s">
        <v>215</v>
      </c>
      <c r="S404" t="s">
        <v>196</v>
      </c>
      <c r="T404" t="s">
        <v>178</v>
      </c>
    </row>
    <row r="405" spans="1:20">
      <c r="A405">
        <v>330</v>
      </c>
      <c r="B405" t="s">
        <v>27</v>
      </c>
      <c r="C405" t="s">
        <v>12</v>
      </c>
      <c r="D405">
        <v>3</v>
      </c>
      <c r="E405">
        <v>80</v>
      </c>
      <c r="F405">
        <v>75</v>
      </c>
      <c r="G405">
        <v>73</v>
      </c>
      <c r="H405">
        <v>78</v>
      </c>
      <c r="I405" t="s">
        <v>13</v>
      </c>
      <c r="J405">
        <v>7</v>
      </c>
      <c r="K405">
        <v>4</v>
      </c>
      <c r="L405">
        <v>226</v>
      </c>
      <c r="M405">
        <v>75.333333333333329</v>
      </c>
      <c r="N405" t="s">
        <v>199</v>
      </c>
      <c r="O405">
        <v>25.111111111111111</v>
      </c>
      <c r="P405" t="s">
        <v>16</v>
      </c>
      <c r="Q405" t="s">
        <v>212</v>
      </c>
      <c r="R405" t="s">
        <v>215</v>
      </c>
      <c r="S405" t="s">
        <v>195</v>
      </c>
      <c r="T405" t="s">
        <v>179</v>
      </c>
    </row>
    <row r="406" spans="1:20">
      <c r="A406">
        <v>332</v>
      </c>
      <c r="B406" t="s">
        <v>29</v>
      </c>
      <c r="C406" t="s">
        <v>12</v>
      </c>
      <c r="D406">
        <v>2</v>
      </c>
      <c r="E406">
        <v>68</v>
      </c>
      <c r="F406">
        <v>60</v>
      </c>
      <c r="G406">
        <v>58</v>
      </c>
      <c r="H406">
        <v>64</v>
      </c>
      <c r="I406" t="s">
        <v>16</v>
      </c>
      <c r="J406">
        <v>8</v>
      </c>
      <c r="K406">
        <v>5</v>
      </c>
      <c r="L406">
        <v>182</v>
      </c>
      <c r="M406">
        <v>60.666666666666664</v>
      </c>
      <c r="N406" t="s">
        <v>199</v>
      </c>
      <c r="O406">
        <v>30.333333333333332</v>
      </c>
      <c r="P406" t="s">
        <v>16</v>
      </c>
      <c r="Q406" t="s">
        <v>212</v>
      </c>
      <c r="R406" t="s">
        <v>215</v>
      </c>
      <c r="S406" t="s">
        <v>196</v>
      </c>
      <c r="T406" t="s">
        <v>178</v>
      </c>
    </row>
    <row r="407" spans="1:20">
      <c r="A407">
        <v>334</v>
      </c>
      <c r="B407" t="s">
        <v>49</v>
      </c>
      <c r="C407" t="s">
        <v>12</v>
      </c>
      <c r="D407">
        <v>3</v>
      </c>
      <c r="E407">
        <v>78</v>
      </c>
      <c r="F407">
        <v>72</v>
      </c>
      <c r="G407">
        <v>70</v>
      </c>
      <c r="H407">
        <v>75</v>
      </c>
      <c r="I407" t="s">
        <v>13</v>
      </c>
      <c r="J407">
        <v>7</v>
      </c>
      <c r="K407">
        <v>4</v>
      </c>
      <c r="L407">
        <v>217</v>
      </c>
      <c r="M407">
        <v>72.333333333333329</v>
      </c>
      <c r="N407" t="s">
        <v>199</v>
      </c>
      <c r="O407">
        <v>24.111111111111111</v>
      </c>
      <c r="P407" t="s">
        <v>16</v>
      </c>
      <c r="Q407" t="s">
        <v>212</v>
      </c>
      <c r="R407" t="s">
        <v>215</v>
      </c>
      <c r="S407" t="s">
        <v>196</v>
      </c>
      <c r="T407" t="s">
        <v>179</v>
      </c>
    </row>
    <row r="408" spans="1:20">
      <c r="A408">
        <v>337</v>
      </c>
      <c r="B408" t="s">
        <v>36</v>
      </c>
      <c r="C408" t="s">
        <v>15</v>
      </c>
      <c r="D408">
        <v>3</v>
      </c>
      <c r="E408">
        <v>79</v>
      </c>
      <c r="F408">
        <v>74</v>
      </c>
      <c r="G408">
        <v>72</v>
      </c>
      <c r="H408">
        <v>76</v>
      </c>
      <c r="I408" t="s">
        <v>13</v>
      </c>
      <c r="J408">
        <v>7</v>
      </c>
      <c r="K408">
        <v>4</v>
      </c>
      <c r="L408">
        <v>222</v>
      </c>
      <c r="M408">
        <v>74</v>
      </c>
      <c r="N408" t="s">
        <v>199</v>
      </c>
      <c r="O408">
        <v>24.666666666666668</v>
      </c>
      <c r="P408" t="s">
        <v>16</v>
      </c>
      <c r="Q408" t="s">
        <v>212</v>
      </c>
      <c r="R408" t="s">
        <v>215</v>
      </c>
      <c r="S408" t="s">
        <v>196</v>
      </c>
      <c r="T408" t="s">
        <v>179</v>
      </c>
    </row>
    <row r="409" spans="1:20">
      <c r="A409">
        <v>338</v>
      </c>
      <c r="B409" t="s">
        <v>23</v>
      </c>
      <c r="C409" t="s">
        <v>12</v>
      </c>
      <c r="D409">
        <v>2</v>
      </c>
      <c r="E409">
        <v>70</v>
      </c>
      <c r="F409">
        <v>62</v>
      </c>
      <c r="G409">
        <v>60</v>
      </c>
      <c r="H409">
        <v>66</v>
      </c>
      <c r="I409" t="s">
        <v>16</v>
      </c>
      <c r="J409">
        <v>8</v>
      </c>
      <c r="K409">
        <v>5</v>
      </c>
      <c r="L409">
        <v>188</v>
      </c>
      <c r="M409">
        <v>62.666666666666664</v>
      </c>
      <c r="N409" t="s">
        <v>199</v>
      </c>
      <c r="O409">
        <v>31.333333333333332</v>
      </c>
      <c r="P409" t="s">
        <v>16</v>
      </c>
      <c r="Q409" t="s">
        <v>212</v>
      </c>
      <c r="R409" t="s">
        <v>215</v>
      </c>
      <c r="S409" t="s">
        <v>196</v>
      </c>
      <c r="T409" t="s">
        <v>178</v>
      </c>
    </row>
    <row r="410" spans="1:20">
      <c r="A410">
        <v>340</v>
      </c>
      <c r="B410" t="s">
        <v>59</v>
      </c>
      <c r="C410" t="s">
        <v>12</v>
      </c>
      <c r="D410">
        <v>3</v>
      </c>
      <c r="E410">
        <v>82</v>
      </c>
      <c r="F410">
        <v>76</v>
      </c>
      <c r="G410">
        <v>75</v>
      </c>
      <c r="H410">
        <v>80</v>
      </c>
      <c r="I410" t="s">
        <v>16</v>
      </c>
      <c r="J410">
        <v>7</v>
      </c>
      <c r="K410">
        <v>4</v>
      </c>
      <c r="L410">
        <v>231</v>
      </c>
      <c r="M410">
        <v>77</v>
      </c>
      <c r="N410" t="s">
        <v>199</v>
      </c>
      <c r="O410">
        <v>25.666666666666668</v>
      </c>
      <c r="P410" t="s">
        <v>16</v>
      </c>
      <c r="Q410" t="s">
        <v>212</v>
      </c>
      <c r="R410" t="s">
        <v>215</v>
      </c>
      <c r="S410" t="s">
        <v>195</v>
      </c>
      <c r="T410" t="s">
        <v>179</v>
      </c>
    </row>
    <row r="411" spans="1:20">
      <c r="A411">
        <v>342</v>
      </c>
      <c r="B411" t="s">
        <v>45</v>
      </c>
      <c r="C411" t="s">
        <v>12</v>
      </c>
      <c r="D411">
        <v>2</v>
      </c>
      <c r="E411">
        <v>68</v>
      </c>
      <c r="F411">
        <v>60</v>
      </c>
      <c r="G411">
        <v>58</v>
      </c>
      <c r="H411">
        <v>64</v>
      </c>
      <c r="I411" t="s">
        <v>16</v>
      </c>
      <c r="J411">
        <v>8</v>
      </c>
      <c r="K411">
        <v>5</v>
      </c>
      <c r="L411">
        <v>182</v>
      </c>
      <c r="M411">
        <v>60.666666666666664</v>
      </c>
      <c r="N411" t="s">
        <v>199</v>
      </c>
      <c r="O411">
        <v>30.333333333333332</v>
      </c>
      <c r="P411" t="s">
        <v>16</v>
      </c>
      <c r="Q411" t="s">
        <v>212</v>
      </c>
      <c r="R411" t="s">
        <v>215</v>
      </c>
      <c r="S411" t="s">
        <v>196</v>
      </c>
      <c r="T411" t="s">
        <v>178</v>
      </c>
    </row>
    <row r="412" spans="1:20">
      <c r="A412">
        <v>344</v>
      </c>
      <c r="B412" t="s">
        <v>63</v>
      </c>
      <c r="C412" t="s">
        <v>12</v>
      </c>
      <c r="D412">
        <v>3</v>
      </c>
      <c r="E412">
        <v>78</v>
      </c>
      <c r="F412">
        <v>72</v>
      </c>
      <c r="G412">
        <v>70</v>
      </c>
      <c r="H412">
        <v>75</v>
      </c>
      <c r="I412" t="s">
        <v>13</v>
      </c>
      <c r="J412">
        <v>7</v>
      </c>
      <c r="K412">
        <v>4</v>
      </c>
      <c r="L412">
        <v>217</v>
      </c>
      <c r="M412">
        <v>72.333333333333329</v>
      </c>
      <c r="N412" t="s">
        <v>199</v>
      </c>
      <c r="O412">
        <v>24.111111111111111</v>
      </c>
      <c r="P412" t="s">
        <v>16</v>
      </c>
      <c r="Q412" t="s">
        <v>212</v>
      </c>
      <c r="R412" t="s">
        <v>215</v>
      </c>
      <c r="S412" t="s">
        <v>196</v>
      </c>
      <c r="T412" t="s">
        <v>179</v>
      </c>
    </row>
    <row r="413" spans="1:20">
      <c r="A413">
        <v>347</v>
      </c>
      <c r="B413" t="s">
        <v>165</v>
      </c>
      <c r="C413" t="s">
        <v>15</v>
      </c>
      <c r="D413">
        <v>3</v>
      </c>
      <c r="E413">
        <v>79</v>
      </c>
      <c r="F413">
        <v>74</v>
      </c>
      <c r="G413">
        <v>72</v>
      </c>
      <c r="H413">
        <v>76</v>
      </c>
      <c r="I413" t="s">
        <v>13</v>
      </c>
      <c r="J413">
        <v>7</v>
      </c>
      <c r="K413">
        <v>4</v>
      </c>
      <c r="L413">
        <v>222</v>
      </c>
      <c r="M413">
        <v>74</v>
      </c>
      <c r="N413" t="s">
        <v>199</v>
      </c>
      <c r="O413">
        <v>24.666666666666668</v>
      </c>
      <c r="P413" t="s">
        <v>16</v>
      </c>
      <c r="Q413" t="s">
        <v>212</v>
      </c>
      <c r="R413" t="s">
        <v>215</v>
      </c>
      <c r="S413" t="s">
        <v>196</v>
      </c>
      <c r="T413" t="s">
        <v>179</v>
      </c>
    </row>
    <row r="414" spans="1:20">
      <c r="A414">
        <v>348</v>
      </c>
      <c r="B414" t="s">
        <v>85</v>
      </c>
      <c r="C414" t="s">
        <v>12</v>
      </c>
      <c r="D414">
        <v>2</v>
      </c>
      <c r="E414">
        <v>70</v>
      </c>
      <c r="F414">
        <v>62</v>
      </c>
      <c r="G414">
        <v>60</v>
      </c>
      <c r="H414">
        <v>66</v>
      </c>
      <c r="I414" t="s">
        <v>16</v>
      </c>
      <c r="J414">
        <v>8</v>
      </c>
      <c r="K414">
        <v>5</v>
      </c>
      <c r="L414">
        <v>188</v>
      </c>
      <c r="M414">
        <v>62.666666666666664</v>
      </c>
      <c r="N414" t="s">
        <v>199</v>
      </c>
      <c r="O414">
        <v>31.333333333333332</v>
      </c>
      <c r="P414" t="s">
        <v>16</v>
      </c>
      <c r="Q414" t="s">
        <v>212</v>
      </c>
      <c r="R414" t="s">
        <v>215</v>
      </c>
      <c r="S414" t="s">
        <v>196</v>
      </c>
      <c r="T414" t="s">
        <v>178</v>
      </c>
    </row>
    <row r="415" spans="1:20">
      <c r="A415">
        <v>350</v>
      </c>
      <c r="B415" t="s">
        <v>147</v>
      </c>
      <c r="C415" t="s">
        <v>12</v>
      </c>
      <c r="D415">
        <v>3</v>
      </c>
      <c r="E415">
        <v>82</v>
      </c>
      <c r="F415">
        <v>76</v>
      </c>
      <c r="G415">
        <v>75</v>
      </c>
      <c r="H415">
        <v>80</v>
      </c>
      <c r="I415" t="s">
        <v>16</v>
      </c>
      <c r="J415">
        <v>7</v>
      </c>
      <c r="K415">
        <v>4</v>
      </c>
      <c r="L415">
        <v>231</v>
      </c>
      <c r="M415">
        <v>77</v>
      </c>
      <c r="N415" t="s">
        <v>199</v>
      </c>
      <c r="O415">
        <v>25.666666666666668</v>
      </c>
      <c r="P415" t="s">
        <v>16</v>
      </c>
      <c r="Q415" t="s">
        <v>212</v>
      </c>
      <c r="R415" t="s">
        <v>215</v>
      </c>
      <c r="S415" t="s">
        <v>195</v>
      </c>
      <c r="T415" t="s">
        <v>179</v>
      </c>
    </row>
    <row r="416" spans="1:20">
      <c r="A416">
        <v>352</v>
      </c>
      <c r="B416" t="s">
        <v>91</v>
      </c>
      <c r="C416" t="s">
        <v>15</v>
      </c>
      <c r="D416">
        <v>2</v>
      </c>
      <c r="E416">
        <v>68</v>
      </c>
      <c r="F416">
        <v>60</v>
      </c>
      <c r="G416">
        <v>58</v>
      </c>
      <c r="H416">
        <v>64</v>
      </c>
      <c r="I416" t="s">
        <v>16</v>
      </c>
      <c r="J416">
        <v>8</v>
      </c>
      <c r="K416">
        <v>5</v>
      </c>
      <c r="L416">
        <v>182</v>
      </c>
      <c r="M416">
        <v>60.666666666666664</v>
      </c>
      <c r="N416" t="s">
        <v>199</v>
      </c>
      <c r="O416">
        <v>30.333333333333332</v>
      </c>
      <c r="P416" t="s">
        <v>16</v>
      </c>
      <c r="Q416" t="s">
        <v>212</v>
      </c>
      <c r="R416" t="s">
        <v>215</v>
      </c>
      <c r="S416" t="s">
        <v>196</v>
      </c>
      <c r="T416" t="s">
        <v>178</v>
      </c>
    </row>
    <row r="417" spans="1:20">
      <c r="A417">
        <v>354</v>
      </c>
      <c r="B417" t="s">
        <v>57</v>
      </c>
      <c r="C417" t="s">
        <v>12</v>
      </c>
      <c r="D417">
        <v>3</v>
      </c>
      <c r="E417">
        <v>78</v>
      </c>
      <c r="F417">
        <v>72</v>
      </c>
      <c r="G417">
        <v>70</v>
      </c>
      <c r="H417">
        <v>75</v>
      </c>
      <c r="I417" t="s">
        <v>13</v>
      </c>
      <c r="J417">
        <v>7</v>
      </c>
      <c r="K417">
        <v>4</v>
      </c>
      <c r="L417">
        <v>217</v>
      </c>
      <c r="M417">
        <v>72.333333333333329</v>
      </c>
      <c r="N417" t="s">
        <v>199</v>
      </c>
      <c r="O417">
        <v>24.111111111111111</v>
      </c>
      <c r="P417" t="s">
        <v>16</v>
      </c>
      <c r="Q417" t="s">
        <v>212</v>
      </c>
      <c r="R417" t="s">
        <v>215</v>
      </c>
      <c r="S417" t="s">
        <v>196</v>
      </c>
      <c r="T417" t="s">
        <v>179</v>
      </c>
    </row>
    <row r="418" spans="1:20">
      <c r="A418">
        <v>357</v>
      </c>
      <c r="B418" t="s">
        <v>54</v>
      </c>
      <c r="C418" t="s">
        <v>15</v>
      </c>
      <c r="D418">
        <v>3</v>
      </c>
      <c r="E418">
        <v>79</v>
      </c>
      <c r="F418">
        <v>74</v>
      </c>
      <c r="G418">
        <v>72</v>
      </c>
      <c r="H418">
        <v>76</v>
      </c>
      <c r="I418" t="s">
        <v>13</v>
      </c>
      <c r="J418">
        <v>7</v>
      </c>
      <c r="K418">
        <v>4</v>
      </c>
      <c r="L418">
        <v>222</v>
      </c>
      <c r="M418">
        <v>74</v>
      </c>
      <c r="N418" t="s">
        <v>199</v>
      </c>
      <c r="O418">
        <v>24.666666666666668</v>
      </c>
      <c r="P418" t="s">
        <v>16</v>
      </c>
      <c r="Q418" t="s">
        <v>212</v>
      </c>
      <c r="R418" t="s">
        <v>215</v>
      </c>
      <c r="S418" t="s">
        <v>196</v>
      </c>
      <c r="T418" t="s">
        <v>179</v>
      </c>
    </row>
    <row r="419" spans="1:20">
      <c r="A419">
        <v>358</v>
      </c>
      <c r="B419" t="s">
        <v>19</v>
      </c>
      <c r="C419" t="s">
        <v>12</v>
      </c>
      <c r="D419">
        <v>2</v>
      </c>
      <c r="E419">
        <v>70</v>
      </c>
      <c r="F419">
        <v>62</v>
      </c>
      <c r="G419">
        <v>60</v>
      </c>
      <c r="H419">
        <v>66</v>
      </c>
      <c r="I419" t="s">
        <v>16</v>
      </c>
      <c r="J419">
        <v>8</v>
      </c>
      <c r="K419">
        <v>5</v>
      </c>
      <c r="L419">
        <v>188</v>
      </c>
      <c r="M419">
        <v>62.666666666666664</v>
      </c>
      <c r="N419" t="s">
        <v>199</v>
      </c>
      <c r="O419">
        <v>31.333333333333332</v>
      </c>
      <c r="P419" t="s">
        <v>16</v>
      </c>
      <c r="Q419" t="s">
        <v>212</v>
      </c>
      <c r="R419" t="s">
        <v>215</v>
      </c>
      <c r="S419" t="s">
        <v>196</v>
      </c>
      <c r="T419" t="s">
        <v>178</v>
      </c>
    </row>
    <row r="420" spans="1:20">
      <c r="A420">
        <v>360</v>
      </c>
      <c r="B420" t="s">
        <v>11</v>
      </c>
      <c r="C420" t="s">
        <v>12</v>
      </c>
      <c r="D420">
        <v>3</v>
      </c>
      <c r="E420">
        <v>82</v>
      </c>
      <c r="F420">
        <v>76</v>
      </c>
      <c r="G420">
        <v>75</v>
      </c>
      <c r="H420">
        <v>80</v>
      </c>
      <c r="I420" t="s">
        <v>16</v>
      </c>
      <c r="J420">
        <v>7</v>
      </c>
      <c r="K420">
        <v>4</v>
      </c>
      <c r="L420">
        <v>231</v>
      </c>
      <c r="M420">
        <v>77</v>
      </c>
      <c r="N420" t="s">
        <v>199</v>
      </c>
      <c r="O420">
        <v>25.666666666666668</v>
      </c>
      <c r="P420" t="s">
        <v>16</v>
      </c>
      <c r="Q420" t="s">
        <v>212</v>
      </c>
      <c r="R420" t="s">
        <v>215</v>
      </c>
      <c r="S420" t="s">
        <v>195</v>
      </c>
      <c r="T420" t="s">
        <v>179</v>
      </c>
    </row>
    <row r="421" spans="1:20">
      <c r="A421">
        <v>361</v>
      </c>
      <c r="B421" t="s">
        <v>71</v>
      </c>
      <c r="C421" t="s">
        <v>12</v>
      </c>
      <c r="D421">
        <v>3</v>
      </c>
      <c r="E421">
        <v>78</v>
      </c>
      <c r="F421">
        <v>72</v>
      </c>
      <c r="G421">
        <v>70</v>
      </c>
      <c r="H421">
        <v>75</v>
      </c>
      <c r="I421" t="s">
        <v>13</v>
      </c>
      <c r="J421">
        <v>7</v>
      </c>
      <c r="K421">
        <v>4</v>
      </c>
      <c r="L421">
        <v>217</v>
      </c>
      <c r="M421">
        <v>72.333333333333329</v>
      </c>
      <c r="N421" t="s">
        <v>199</v>
      </c>
      <c r="O421">
        <v>24.111111111111111</v>
      </c>
      <c r="P421" t="s">
        <v>16</v>
      </c>
      <c r="Q421" t="s">
        <v>212</v>
      </c>
      <c r="R421" t="s">
        <v>215</v>
      </c>
      <c r="S421" t="s">
        <v>196</v>
      </c>
      <c r="T421" t="s">
        <v>179</v>
      </c>
    </row>
    <row r="422" spans="1:20">
      <c r="A422">
        <v>364</v>
      </c>
      <c r="B422" t="s">
        <v>65</v>
      </c>
      <c r="C422" t="s">
        <v>12</v>
      </c>
      <c r="D422">
        <v>3</v>
      </c>
      <c r="E422">
        <v>85</v>
      </c>
      <c r="F422">
        <v>78</v>
      </c>
      <c r="G422">
        <v>72</v>
      </c>
      <c r="H422">
        <v>80</v>
      </c>
      <c r="I422" t="s">
        <v>13</v>
      </c>
      <c r="J422">
        <v>7</v>
      </c>
      <c r="K422">
        <v>3</v>
      </c>
      <c r="L422">
        <v>230</v>
      </c>
      <c r="M422">
        <v>76.666666666666671</v>
      </c>
      <c r="N422" t="s">
        <v>199</v>
      </c>
      <c r="O422">
        <v>25.555555555555557</v>
      </c>
      <c r="P422" t="s">
        <v>16</v>
      </c>
      <c r="Q422" t="s">
        <v>212</v>
      </c>
      <c r="R422" t="s">
        <v>215</v>
      </c>
      <c r="S422" t="s">
        <v>195</v>
      </c>
      <c r="T422" t="s">
        <v>179</v>
      </c>
    </row>
    <row r="423" spans="1:20">
      <c r="A423">
        <v>366</v>
      </c>
      <c r="B423" t="s">
        <v>39</v>
      </c>
      <c r="C423" t="s">
        <v>12</v>
      </c>
      <c r="D423">
        <v>2</v>
      </c>
      <c r="E423">
        <v>70</v>
      </c>
      <c r="F423">
        <v>62</v>
      </c>
      <c r="G423">
        <v>60</v>
      </c>
      <c r="H423">
        <v>66</v>
      </c>
      <c r="I423" t="s">
        <v>16</v>
      </c>
      <c r="J423">
        <v>8</v>
      </c>
      <c r="K423">
        <v>5</v>
      </c>
      <c r="L423">
        <v>188</v>
      </c>
      <c r="M423">
        <v>62.666666666666664</v>
      </c>
      <c r="N423" t="s">
        <v>199</v>
      </c>
      <c r="O423">
        <v>31.333333333333332</v>
      </c>
      <c r="P423" t="s">
        <v>16</v>
      </c>
      <c r="Q423" t="s">
        <v>212</v>
      </c>
      <c r="R423" t="s">
        <v>215</v>
      </c>
      <c r="S423" t="s">
        <v>196</v>
      </c>
      <c r="T423" t="s">
        <v>178</v>
      </c>
    </row>
    <row r="424" spans="1:20">
      <c r="A424">
        <v>370</v>
      </c>
      <c r="B424" t="s">
        <v>157</v>
      </c>
      <c r="C424" t="s">
        <v>12</v>
      </c>
      <c r="D424">
        <v>2</v>
      </c>
      <c r="E424">
        <v>68</v>
      </c>
      <c r="F424">
        <v>60</v>
      </c>
      <c r="G424">
        <v>58</v>
      </c>
      <c r="H424">
        <v>64</v>
      </c>
      <c r="I424" t="s">
        <v>16</v>
      </c>
      <c r="J424">
        <v>8</v>
      </c>
      <c r="K424">
        <v>5</v>
      </c>
      <c r="L424">
        <v>182</v>
      </c>
      <c r="M424">
        <v>60.666666666666664</v>
      </c>
      <c r="N424" t="s">
        <v>199</v>
      </c>
      <c r="O424">
        <v>30.333333333333332</v>
      </c>
      <c r="P424" t="s">
        <v>16</v>
      </c>
      <c r="Q424" t="s">
        <v>212</v>
      </c>
      <c r="R424" t="s">
        <v>215</v>
      </c>
      <c r="S424" t="s">
        <v>196</v>
      </c>
      <c r="T424" t="s">
        <v>178</v>
      </c>
    </row>
    <row r="425" spans="1:20">
      <c r="A425">
        <v>372</v>
      </c>
      <c r="B425" t="s">
        <v>82</v>
      </c>
      <c r="C425" t="s">
        <v>12</v>
      </c>
      <c r="D425">
        <v>3</v>
      </c>
      <c r="E425">
        <v>78</v>
      </c>
      <c r="F425">
        <v>72</v>
      </c>
      <c r="G425">
        <v>70</v>
      </c>
      <c r="H425">
        <v>75</v>
      </c>
      <c r="I425" t="s">
        <v>13</v>
      </c>
      <c r="J425">
        <v>7</v>
      </c>
      <c r="K425">
        <v>4</v>
      </c>
      <c r="L425">
        <v>217</v>
      </c>
      <c r="M425">
        <v>72.333333333333329</v>
      </c>
      <c r="N425" t="s">
        <v>199</v>
      </c>
      <c r="O425">
        <v>24.111111111111111</v>
      </c>
      <c r="P425" t="s">
        <v>16</v>
      </c>
      <c r="Q425" t="s">
        <v>212</v>
      </c>
      <c r="R425" t="s">
        <v>215</v>
      </c>
      <c r="S425" t="s">
        <v>196</v>
      </c>
      <c r="T425" t="s">
        <v>179</v>
      </c>
    </row>
    <row r="426" spans="1:20">
      <c r="A426">
        <v>375</v>
      </c>
      <c r="B426" t="s">
        <v>165</v>
      </c>
      <c r="C426" t="s">
        <v>15</v>
      </c>
      <c r="D426">
        <v>3</v>
      </c>
      <c r="E426">
        <v>79</v>
      </c>
      <c r="F426">
        <v>74</v>
      </c>
      <c r="G426">
        <v>72</v>
      </c>
      <c r="H426">
        <v>76</v>
      </c>
      <c r="I426" t="s">
        <v>13</v>
      </c>
      <c r="J426">
        <v>7</v>
      </c>
      <c r="K426">
        <v>4</v>
      </c>
      <c r="L426">
        <v>222</v>
      </c>
      <c r="M426">
        <v>74</v>
      </c>
      <c r="N426" t="s">
        <v>199</v>
      </c>
      <c r="O426">
        <v>24.666666666666668</v>
      </c>
      <c r="P426" t="s">
        <v>16</v>
      </c>
      <c r="Q426" t="s">
        <v>212</v>
      </c>
      <c r="R426" t="s">
        <v>215</v>
      </c>
      <c r="S426" t="s">
        <v>196</v>
      </c>
      <c r="T426" t="s">
        <v>179</v>
      </c>
    </row>
    <row r="427" spans="1:20">
      <c r="A427">
        <v>376</v>
      </c>
      <c r="B427" t="s">
        <v>33</v>
      </c>
      <c r="C427" t="s">
        <v>12</v>
      </c>
      <c r="D427">
        <v>2</v>
      </c>
      <c r="E427">
        <v>70</v>
      </c>
      <c r="F427">
        <v>62</v>
      </c>
      <c r="G427">
        <v>60</v>
      </c>
      <c r="H427">
        <v>66</v>
      </c>
      <c r="I427" t="s">
        <v>16</v>
      </c>
      <c r="J427">
        <v>8</v>
      </c>
      <c r="K427">
        <v>5</v>
      </c>
      <c r="L427">
        <v>188</v>
      </c>
      <c r="M427">
        <v>62.666666666666664</v>
      </c>
      <c r="N427" t="s">
        <v>199</v>
      </c>
      <c r="O427">
        <v>31.333333333333332</v>
      </c>
      <c r="P427" t="s">
        <v>16</v>
      </c>
      <c r="Q427" t="s">
        <v>212</v>
      </c>
      <c r="R427" t="s">
        <v>215</v>
      </c>
      <c r="S427" t="s">
        <v>196</v>
      </c>
      <c r="T427" t="s">
        <v>178</v>
      </c>
    </row>
    <row r="428" spans="1:20">
      <c r="A428">
        <v>378</v>
      </c>
      <c r="B428" t="s">
        <v>27</v>
      </c>
      <c r="C428" t="s">
        <v>12</v>
      </c>
      <c r="D428">
        <v>3</v>
      </c>
      <c r="E428">
        <v>82</v>
      </c>
      <c r="F428">
        <v>76</v>
      </c>
      <c r="G428">
        <v>75</v>
      </c>
      <c r="H428">
        <v>80</v>
      </c>
      <c r="I428" t="s">
        <v>16</v>
      </c>
      <c r="J428">
        <v>7</v>
      </c>
      <c r="K428">
        <v>4</v>
      </c>
      <c r="L428">
        <v>231</v>
      </c>
      <c r="M428">
        <v>77</v>
      </c>
      <c r="N428" t="s">
        <v>199</v>
      </c>
      <c r="O428">
        <v>25.666666666666668</v>
      </c>
      <c r="P428" t="s">
        <v>16</v>
      </c>
      <c r="Q428" t="s">
        <v>212</v>
      </c>
      <c r="R428" t="s">
        <v>215</v>
      </c>
      <c r="S428" t="s">
        <v>195</v>
      </c>
      <c r="T428" t="s">
        <v>179</v>
      </c>
    </row>
    <row r="429" spans="1:20">
      <c r="A429">
        <v>380</v>
      </c>
      <c r="B429" t="s">
        <v>35</v>
      </c>
      <c r="C429" t="s">
        <v>12</v>
      </c>
      <c r="D429">
        <v>2</v>
      </c>
      <c r="E429">
        <v>68</v>
      </c>
      <c r="F429">
        <v>60</v>
      </c>
      <c r="G429">
        <v>58</v>
      </c>
      <c r="H429">
        <v>64</v>
      </c>
      <c r="I429" t="s">
        <v>16</v>
      </c>
      <c r="J429">
        <v>8</v>
      </c>
      <c r="K429">
        <v>5</v>
      </c>
      <c r="L429">
        <v>182</v>
      </c>
      <c r="M429">
        <v>60.666666666666664</v>
      </c>
      <c r="N429" t="s">
        <v>199</v>
      </c>
      <c r="O429">
        <v>30.333333333333332</v>
      </c>
      <c r="P429" t="s">
        <v>16</v>
      </c>
      <c r="Q429" t="s">
        <v>212</v>
      </c>
      <c r="R429" t="s">
        <v>215</v>
      </c>
      <c r="S429" t="s">
        <v>196</v>
      </c>
      <c r="T429" t="s">
        <v>178</v>
      </c>
    </row>
    <row r="430" spans="1:20">
      <c r="A430">
        <v>382</v>
      </c>
      <c r="B430" t="s">
        <v>49</v>
      </c>
      <c r="C430" t="s">
        <v>12</v>
      </c>
      <c r="D430">
        <v>3</v>
      </c>
      <c r="E430">
        <v>78</v>
      </c>
      <c r="F430">
        <v>72</v>
      </c>
      <c r="G430">
        <v>70</v>
      </c>
      <c r="H430">
        <v>75</v>
      </c>
      <c r="I430" t="s">
        <v>13</v>
      </c>
      <c r="J430">
        <v>7</v>
      </c>
      <c r="K430">
        <v>4</v>
      </c>
      <c r="L430">
        <v>217</v>
      </c>
      <c r="M430">
        <v>72.333333333333329</v>
      </c>
      <c r="N430" t="s">
        <v>199</v>
      </c>
      <c r="O430">
        <v>24.111111111111111</v>
      </c>
      <c r="P430" t="s">
        <v>16</v>
      </c>
      <c r="Q430" t="s">
        <v>212</v>
      </c>
      <c r="R430" t="s">
        <v>215</v>
      </c>
      <c r="S430" t="s">
        <v>196</v>
      </c>
      <c r="T430" t="s">
        <v>179</v>
      </c>
    </row>
    <row r="431" spans="1:20">
      <c r="A431">
        <v>385</v>
      </c>
      <c r="B431" t="s">
        <v>36</v>
      </c>
      <c r="C431" t="s">
        <v>15</v>
      </c>
      <c r="D431">
        <v>3</v>
      </c>
      <c r="E431">
        <v>79</v>
      </c>
      <c r="F431">
        <v>74</v>
      </c>
      <c r="G431">
        <v>72</v>
      </c>
      <c r="H431">
        <v>76</v>
      </c>
      <c r="I431" t="s">
        <v>13</v>
      </c>
      <c r="J431">
        <v>7</v>
      </c>
      <c r="K431">
        <v>4</v>
      </c>
      <c r="L431">
        <v>222</v>
      </c>
      <c r="M431">
        <v>74</v>
      </c>
      <c r="N431" t="s">
        <v>199</v>
      </c>
      <c r="O431">
        <v>24.666666666666668</v>
      </c>
      <c r="P431" t="s">
        <v>16</v>
      </c>
      <c r="Q431" t="s">
        <v>212</v>
      </c>
      <c r="R431" t="s">
        <v>215</v>
      </c>
      <c r="S431" t="s">
        <v>196</v>
      </c>
      <c r="T431" t="s">
        <v>179</v>
      </c>
    </row>
    <row r="432" spans="1:20">
      <c r="A432">
        <v>386</v>
      </c>
      <c r="B432" t="s">
        <v>23</v>
      </c>
      <c r="C432" t="s">
        <v>12</v>
      </c>
      <c r="D432">
        <v>2</v>
      </c>
      <c r="E432">
        <v>70</v>
      </c>
      <c r="F432">
        <v>62</v>
      </c>
      <c r="G432">
        <v>60</v>
      </c>
      <c r="H432">
        <v>66</v>
      </c>
      <c r="I432" t="s">
        <v>16</v>
      </c>
      <c r="J432">
        <v>8</v>
      </c>
      <c r="K432">
        <v>5</v>
      </c>
      <c r="L432">
        <v>188</v>
      </c>
      <c r="M432">
        <v>62.666666666666664</v>
      </c>
      <c r="N432" t="s">
        <v>199</v>
      </c>
      <c r="O432">
        <v>31.333333333333332</v>
      </c>
      <c r="P432" t="s">
        <v>16</v>
      </c>
      <c r="Q432" t="s">
        <v>212</v>
      </c>
      <c r="R432" t="s">
        <v>215</v>
      </c>
      <c r="S432" t="s">
        <v>196</v>
      </c>
      <c r="T432" t="s">
        <v>178</v>
      </c>
    </row>
    <row r="433" spans="1:20">
      <c r="A433">
        <v>388</v>
      </c>
      <c r="B433" t="s">
        <v>59</v>
      </c>
      <c r="C433" t="s">
        <v>12</v>
      </c>
      <c r="D433">
        <v>3</v>
      </c>
      <c r="E433">
        <v>82</v>
      </c>
      <c r="F433">
        <v>76</v>
      </c>
      <c r="G433">
        <v>75</v>
      </c>
      <c r="H433">
        <v>80</v>
      </c>
      <c r="I433" t="s">
        <v>16</v>
      </c>
      <c r="J433">
        <v>7</v>
      </c>
      <c r="K433">
        <v>4</v>
      </c>
      <c r="L433">
        <v>231</v>
      </c>
      <c r="M433">
        <v>77</v>
      </c>
      <c r="N433" t="s">
        <v>199</v>
      </c>
      <c r="O433">
        <v>25.666666666666668</v>
      </c>
      <c r="P433" t="s">
        <v>16</v>
      </c>
      <c r="Q433" t="s">
        <v>212</v>
      </c>
      <c r="R433" t="s">
        <v>215</v>
      </c>
      <c r="S433" t="s">
        <v>195</v>
      </c>
      <c r="T433" t="s">
        <v>179</v>
      </c>
    </row>
    <row r="434" spans="1:20">
      <c r="A434">
        <v>390</v>
      </c>
      <c r="B434" t="s">
        <v>45</v>
      </c>
      <c r="C434" t="s">
        <v>12</v>
      </c>
      <c r="D434">
        <v>2</v>
      </c>
      <c r="E434">
        <v>68</v>
      </c>
      <c r="F434">
        <v>60</v>
      </c>
      <c r="G434">
        <v>58</v>
      </c>
      <c r="H434">
        <v>64</v>
      </c>
      <c r="I434" t="s">
        <v>16</v>
      </c>
      <c r="J434">
        <v>8</v>
      </c>
      <c r="K434">
        <v>5</v>
      </c>
      <c r="L434">
        <v>182</v>
      </c>
      <c r="M434">
        <v>60.666666666666664</v>
      </c>
      <c r="N434" t="s">
        <v>199</v>
      </c>
      <c r="O434">
        <v>30.333333333333332</v>
      </c>
      <c r="P434" t="s">
        <v>16</v>
      </c>
      <c r="Q434" t="s">
        <v>212</v>
      </c>
      <c r="R434" t="s">
        <v>215</v>
      </c>
      <c r="S434" t="s">
        <v>196</v>
      </c>
      <c r="T434" t="s">
        <v>178</v>
      </c>
    </row>
    <row r="435" spans="1:20">
      <c r="A435">
        <v>392</v>
      </c>
      <c r="B435" t="s">
        <v>63</v>
      </c>
      <c r="C435" t="s">
        <v>12</v>
      </c>
      <c r="D435">
        <v>3</v>
      </c>
      <c r="E435">
        <v>78</v>
      </c>
      <c r="F435">
        <v>72</v>
      </c>
      <c r="G435">
        <v>70</v>
      </c>
      <c r="H435">
        <v>75</v>
      </c>
      <c r="I435" t="s">
        <v>13</v>
      </c>
      <c r="J435">
        <v>7</v>
      </c>
      <c r="K435">
        <v>4</v>
      </c>
      <c r="L435">
        <v>217</v>
      </c>
      <c r="M435">
        <v>72.333333333333329</v>
      </c>
      <c r="N435" t="s">
        <v>199</v>
      </c>
      <c r="O435">
        <v>24.111111111111111</v>
      </c>
      <c r="P435" t="s">
        <v>16</v>
      </c>
      <c r="Q435" t="s">
        <v>212</v>
      </c>
      <c r="R435" t="s">
        <v>215</v>
      </c>
      <c r="S435" t="s">
        <v>196</v>
      </c>
      <c r="T435" t="s">
        <v>179</v>
      </c>
    </row>
    <row r="436" spans="1:20">
      <c r="A436">
        <v>395</v>
      </c>
      <c r="B436" t="s">
        <v>85</v>
      </c>
      <c r="C436" t="s">
        <v>12</v>
      </c>
      <c r="D436">
        <v>2</v>
      </c>
      <c r="E436">
        <v>70</v>
      </c>
      <c r="F436">
        <v>62</v>
      </c>
      <c r="G436">
        <v>60</v>
      </c>
      <c r="H436">
        <v>66</v>
      </c>
      <c r="I436" t="s">
        <v>16</v>
      </c>
      <c r="J436">
        <v>8</v>
      </c>
      <c r="K436">
        <v>5</v>
      </c>
      <c r="L436">
        <v>188</v>
      </c>
      <c r="M436">
        <v>62.666666666666664</v>
      </c>
      <c r="N436" t="s">
        <v>199</v>
      </c>
      <c r="O436">
        <v>31.333333333333332</v>
      </c>
      <c r="P436" t="s">
        <v>16</v>
      </c>
      <c r="Q436" t="s">
        <v>212</v>
      </c>
      <c r="R436" t="s">
        <v>215</v>
      </c>
      <c r="S436" t="s">
        <v>196</v>
      </c>
      <c r="T436" t="s">
        <v>178</v>
      </c>
    </row>
    <row r="437" spans="1:20">
      <c r="A437">
        <v>397</v>
      </c>
      <c r="B437" t="s">
        <v>147</v>
      </c>
      <c r="C437" t="s">
        <v>12</v>
      </c>
      <c r="D437">
        <v>3</v>
      </c>
      <c r="E437">
        <v>82</v>
      </c>
      <c r="F437">
        <v>76</v>
      </c>
      <c r="G437">
        <v>75</v>
      </c>
      <c r="H437">
        <v>80</v>
      </c>
      <c r="I437" t="s">
        <v>16</v>
      </c>
      <c r="J437">
        <v>7</v>
      </c>
      <c r="K437">
        <v>4</v>
      </c>
      <c r="L437">
        <v>231</v>
      </c>
      <c r="M437">
        <v>77</v>
      </c>
      <c r="N437" t="s">
        <v>199</v>
      </c>
      <c r="O437">
        <v>25.666666666666668</v>
      </c>
      <c r="P437" t="s">
        <v>16</v>
      </c>
      <c r="Q437" t="s">
        <v>212</v>
      </c>
      <c r="R437" t="s">
        <v>215</v>
      </c>
      <c r="S437" t="s">
        <v>195</v>
      </c>
      <c r="T437" t="s">
        <v>179</v>
      </c>
    </row>
    <row r="438" spans="1:20">
      <c r="A438">
        <v>399</v>
      </c>
      <c r="B438" t="s">
        <v>91</v>
      </c>
      <c r="C438" t="s">
        <v>15</v>
      </c>
      <c r="D438">
        <v>2</v>
      </c>
      <c r="E438">
        <v>68</v>
      </c>
      <c r="F438">
        <v>60</v>
      </c>
      <c r="G438">
        <v>58</v>
      </c>
      <c r="H438">
        <v>64</v>
      </c>
      <c r="I438" t="s">
        <v>16</v>
      </c>
      <c r="J438">
        <v>8</v>
      </c>
      <c r="K438">
        <v>5</v>
      </c>
      <c r="L438">
        <v>182</v>
      </c>
      <c r="M438">
        <v>60.666666666666664</v>
      </c>
      <c r="N438" t="s">
        <v>199</v>
      </c>
      <c r="O438">
        <v>30.333333333333332</v>
      </c>
      <c r="P438" t="s">
        <v>16</v>
      </c>
      <c r="Q438" t="s">
        <v>212</v>
      </c>
      <c r="R438" t="s">
        <v>215</v>
      </c>
      <c r="S438" t="s">
        <v>196</v>
      </c>
      <c r="T438" t="s">
        <v>178</v>
      </c>
    </row>
    <row r="439" spans="1:20">
      <c r="A439">
        <v>401</v>
      </c>
      <c r="B439" t="s">
        <v>75</v>
      </c>
      <c r="C439" t="s">
        <v>12</v>
      </c>
      <c r="D439">
        <v>3</v>
      </c>
      <c r="E439">
        <v>80</v>
      </c>
      <c r="F439">
        <v>75</v>
      </c>
      <c r="G439">
        <v>73</v>
      </c>
      <c r="H439">
        <v>78</v>
      </c>
      <c r="I439" t="s">
        <v>13</v>
      </c>
      <c r="J439">
        <v>7</v>
      </c>
      <c r="K439">
        <v>4</v>
      </c>
      <c r="L439">
        <v>226</v>
      </c>
      <c r="M439">
        <v>75.333333333333329</v>
      </c>
      <c r="N439" t="s">
        <v>199</v>
      </c>
      <c r="O439">
        <v>25.111111111111111</v>
      </c>
      <c r="P439" t="s">
        <v>16</v>
      </c>
      <c r="Q439" t="s">
        <v>212</v>
      </c>
      <c r="R439" t="s">
        <v>215</v>
      </c>
      <c r="S439" t="s">
        <v>195</v>
      </c>
      <c r="T439" t="s">
        <v>179</v>
      </c>
    </row>
    <row r="440" spans="1:20">
      <c r="A440">
        <v>404</v>
      </c>
      <c r="B440" t="s">
        <v>160</v>
      </c>
      <c r="C440" t="s">
        <v>12</v>
      </c>
      <c r="D440">
        <v>2</v>
      </c>
      <c r="E440">
        <v>70</v>
      </c>
      <c r="F440">
        <v>62</v>
      </c>
      <c r="G440">
        <v>60</v>
      </c>
      <c r="H440">
        <v>66</v>
      </c>
      <c r="I440" t="s">
        <v>16</v>
      </c>
      <c r="J440">
        <v>8</v>
      </c>
      <c r="K440">
        <v>5</v>
      </c>
      <c r="L440">
        <v>188</v>
      </c>
      <c r="M440">
        <v>62.666666666666664</v>
      </c>
      <c r="N440" t="s">
        <v>199</v>
      </c>
      <c r="O440">
        <v>31.333333333333332</v>
      </c>
      <c r="P440" t="s">
        <v>16</v>
      </c>
      <c r="Q440" t="s">
        <v>212</v>
      </c>
      <c r="R440" t="s">
        <v>215</v>
      </c>
      <c r="S440" t="s">
        <v>196</v>
      </c>
      <c r="T440" t="s">
        <v>178</v>
      </c>
    </row>
    <row r="441" spans="1:20">
      <c r="A441">
        <v>406</v>
      </c>
      <c r="B441" t="s">
        <v>71</v>
      </c>
      <c r="C441" t="s">
        <v>12</v>
      </c>
      <c r="D441">
        <v>3</v>
      </c>
      <c r="E441">
        <v>78</v>
      </c>
      <c r="F441">
        <v>72</v>
      </c>
      <c r="G441">
        <v>70</v>
      </c>
      <c r="H441">
        <v>75</v>
      </c>
      <c r="I441" t="s">
        <v>13</v>
      </c>
      <c r="J441">
        <v>7</v>
      </c>
      <c r="K441">
        <v>4</v>
      </c>
      <c r="L441">
        <v>217</v>
      </c>
      <c r="M441">
        <v>72.333333333333329</v>
      </c>
      <c r="N441" t="s">
        <v>199</v>
      </c>
      <c r="O441">
        <v>24.111111111111111</v>
      </c>
      <c r="P441" t="s">
        <v>16</v>
      </c>
      <c r="Q441" t="s">
        <v>212</v>
      </c>
      <c r="R441" t="s">
        <v>215</v>
      </c>
      <c r="S441" t="s">
        <v>196</v>
      </c>
      <c r="T441" t="s">
        <v>179</v>
      </c>
    </row>
    <row r="442" spans="1:20">
      <c r="A442">
        <v>408</v>
      </c>
      <c r="B442" t="s">
        <v>165</v>
      </c>
      <c r="C442" t="s">
        <v>12</v>
      </c>
      <c r="D442">
        <v>2</v>
      </c>
      <c r="E442">
        <v>68</v>
      </c>
      <c r="F442">
        <v>60</v>
      </c>
      <c r="G442">
        <v>58</v>
      </c>
      <c r="H442">
        <v>64</v>
      </c>
      <c r="I442" t="s">
        <v>16</v>
      </c>
      <c r="J442">
        <v>8</v>
      </c>
      <c r="K442">
        <v>5</v>
      </c>
      <c r="L442">
        <v>182</v>
      </c>
      <c r="M442">
        <v>60.666666666666664</v>
      </c>
      <c r="N442" t="s">
        <v>199</v>
      </c>
      <c r="O442">
        <v>30.333333333333332</v>
      </c>
      <c r="P442" t="s">
        <v>16</v>
      </c>
      <c r="Q442" t="s">
        <v>212</v>
      </c>
      <c r="R442" t="s">
        <v>215</v>
      </c>
      <c r="S442" t="s">
        <v>196</v>
      </c>
      <c r="T442" t="s">
        <v>178</v>
      </c>
    </row>
    <row r="443" spans="1:20">
      <c r="A443">
        <v>411</v>
      </c>
      <c r="B443" t="s">
        <v>37</v>
      </c>
      <c r="C443" t="s">
        <v>12</v>
      </c>
      <c r="D443">
        <v>3</v>
      </c>
      <c r="E443">
        <v>80</v>
      </c>
      <c r="F443">
        <v>75</v>
      </c>
      <c r="G443">
        <v>73</v>
      </c>
      <c r="H443">
        <v>78</v>
      </c>
      <c r="I443" t="s">
        <v>13</v>
      </c>
      <c r="J443">
        <v>7</v>
      </c>
      <c r="K443">
        <v>4</v>
      </c>
      <c r="L443">
        <v>226</v>
      </c>
      <c r="M443">
        <v>75.333333333333329</v>
      </c>
      <c r="N443" t="s">
        <v>199</v>
      </c>
      <c r="O443">
        <v>25.111111111111111</v>
      </c>
      <c r="P443" t="s">
        <v>16</v>
      </c>
      <c r="Q443" t="s">
        <v>212</v>
      </c>
      <c r="R443" t="s">
        <v>215</v>
      </c>
      <c r="S443" t="s">
        <v>195</v>
      </c>
      <c r="T443" t="s">
        <v>179</v>
      </c>
    </row>
    <row r="444" spans="1:20">
      <c r="A444">
        <v>413</v>
      </c>
      <c r="B444" t="s">
        <v>39</v>
      </c>
      <c r="C444" t="s">
        <v>12</v>
      </c>
      <c r="D444">
        <v>2</v>
      </c>
      <c r="E444">
        <v>70</v>
      </c>
      <c r="F444">
        <v>62</v>
      </c>
      <c r="G444">
        <v>60</v>
      </c>
      <c r="H444">
        <v>66</v>
      </c>
      <c r="I444" t="s">
        <v>16</v>
      </c>
      <c r="J444">
        <v>8</v>
      </c>
      <c r="K444">
        <v>5</v>
      </c>
      <c r="L444">
        <v>188</v>
      </c>
      <c r="M444">
        <v>62.666666666666664</v>
      </c>
      <c r="N444" t="s">
        <v>199</v>
      </c>
      <c r="O444">
        <v>31.333333333333332</v>
      </c>
      <c r="P444" t="s">
        <v>16</v>
      </c>
      <c r="Q444" t="s">
        <v>212</v>
      </c>
      <c r="R444" t="s">
        <v>215</v>
      </c>
      <c r="S444" t="s">
        <v>196</v>
      </c>
      <c r="T444" t="s">
        <v>178</v>
      </c>
    </row>
    <row r="445" spans="1:20">
      <c r="A445">
        <v>417</v>
      </c>
      <c r="B445" t="s">
        <v>33</v>
      </c>
      <c r="C445" t="s">
        <v>12</v>
      </c>
      <c r="D445">
        <v>3</v>
      </c>
      <c r="E445">
        <v>82</v>
      </c>
      <c r="F445">
        <v>76</v>
      </c>
      <c r="G445">
        <v>75</v>
      </c>
      <c r="H445">
        <v>80</v>
      </c>
      <c r="I445" t="s">
        <v>16</v>
      </c>
      <c r="J445">
        <v>7</v>
      </c>
      <c r="K445">
        <v>4</v>
      </c>
      <c r="L445">
        <v>231</v>
      </c>
      <c r="M445">
        <v>77</v>
      </c>
      <c r="N445" t="s">
        <v>199</v>
      </c>
      <c r="O445">
        <v>25.666666666666668</v>
      </c>
      <c r="P445" t="s">
        <v>16</v>
      </c>
      <c r="Q445" t="s">
        <v>212</v>
      </c>
      <c r="R445" t="s">
        <v>215</v>
      </c>
      <c r="S445" t="s">
        <v>195</v>
      </c>
      <c r="T445" t="s">
        <v>179</v>
      </c>
    </row>
    <row r="446" spans="1:20">
      <c r="A446">
        <v>420</v>
      </c>
      <c r="B446" t="s">
        <v>93</v>
      </c>
      <c r="C446" t="s">
        <v>15</v>
      </c>
      <c r="D446">
        <v>3</v>
      </c>
      <c r="E446">
        <v>79</v>
      </c>
      <c r="F446">
        <v>74</v>
      </c>
      <c r="G446">
        <v>72</v>
      </c>
      <c r="H446">
        <v>76</v>
      </c>
      <c r="I446" t="s">
        <v>13</v>
      </c>
      <c r="J446">
        <v>7</v>
      </c>
      <c r="K446">
        <v>4</v>
      </c>
      <c r="L446">
        <v>222</v>
      </c>
      <c r="M446">
        <v>74</v>
      </c>
      <c r="N446" t="s">
        <v>199</v>
      </c>
      <c r="O446">
        <v>24.666666666666668</v>
      </c>
      <c r="P446" t="s">
        <v>16</v>
      </c>
      <c r="Q446" t="s">
        <v>212</v>
      </c>
      <c r="R446" t="s">
        <v>215</v>
      </c>
      <c r="S446" t="s">
        <v>196</v>
      </c>
      <c r="T446" t="s">
        <v>179</v>
      </c>
    </row>
    <row r="447" spans="1:20">
      <c r="A447">
        <v>421</v>
      </c>
      <c r="B447" t="s">
        <v>35</v>
      </c>
      <c r="C447" t="s">
        <v>12</v>
      </c>
      <c r="D447">
        <v>2</v>
      </c>
      <c r="E447">
        <v>70</v>
      </c>
      <c r="F447">
        <v>62</v>
      </c>
      <c r="G447">
        <v>60</v>
      </c>
      <c r="H447">
        <v>66</v>
      </c>
      <c r="I447" t="s">
        <v>16</v>
      </c>
      <c r="J447">
        <v>8</v>
      </c>
      <c r="K447">
        <v>5</v>
      </c>
      <c r="L447">
        <v>188</v>
      </c>
      <c r="M447">
        <v>62.666666666666664</v>
      </c>
      <c r="N447" t="s">
        <v>199</v>
      </c>
      <c r="O447">
        <v>31.333333333333332</v>
      </c>
      <c r="P447" t="s">
        <v>16</v>
      </c>
      <c r="Q447" t="s">
        <v>212</v>
      </c>
      <c r="R447" t="s">
        <v>215</v>
      </c>
      <c r="S447" t="s">
        <v>196</v>
      </c>
      <c r="T447" t="s">
        <v>178</v>
      </c>
    </row>
    <row r="448" spans="1:20">
      <c r="A448">
        <v>423</v>
      </c>
      <c r="B448" t="s">
        <v>27</v>
      </c>
      <c r="C448" t="s">
        <v>12</v>
      </c>
      <c r="D448">
        <v>3</v>
      </c>
      <c r="E448">
        <v>80</v>
      </c>
      <c r="F448">
        <v>75</v>
      </c>
      <c r="G448">
        <v>73</v>
      </c>
      <c r="H448">
        <v>78</v>
      </c>
      <c r="I448" t="s">
        <v>13</v>
      </c>
      <c r="J448">
        <v>7</v>
      </c>
      <c r="K448">
        <v>4</v>
      </c>
      <c r="L448">
        <v>226</v>
      </c>
      <c r="M448">
        <v>75.333333333333329</v>
      </c>
      <c r="N448" t="s">
        <v>199</v>
      </c>
      <c r="O448">
        <v>25.111111111111111</v>
      </c>
      <c r="P448" t="s">
        <v>16</v>
      </c>
      <c r="Q448" t="s">
        <v>212</v>
      </c>
      <c r="R448" t="s">
        <v>215</v>
      </c>
      <c r="S448" t="s">
        <v>195</v>
      </c>
      <c r="T448" t="s">
        <v>179</v>
      </c>
    </row>
    <row r="449" spans="1:20">
      <c r="A449">
        <v>425</v>
      </c>
      <c r="B449" t="s">
        <v>29</v>
      </c>
      <c r="C449" t="s">
        <v>12</v>
      </c>
      <c r="D449">
        <v>2</v>
      </c>
      <c r="E449">
        <v>68</v>
      </c>
      <c r="F449">
        <v>60</v>
      </c>
      <c r="G449">
        <v>58</v>
      </c>
      <c r="H449">
        <v>64</v>
      </c>
      <c r="I449" t="s">
        <v>16</v>
      </c>
      <c r="J449">
        <v>8</v>
      </c>
      <c r="K449">
        <v>5</v>
      </c>
      <c r="L449">
        <v>182</v>
      </c>
      <c r="M449">
        <v>60.666666666666664</v>
      </c>
      <c r="N449" t="s">
        <v>199</v>
      </c>
      <c r="O449">
        <v>30.333333333333332</v>
      </c>
      <c r="P449" t="s">
        <v>16</v>
      </c>
      <c r="Q449" t="s">
        <v>212</v>
      </c>
      <c r="R449" t="s">
        <v>215</v>
      </c>
      <c r="S449" t="s">
        <v>196</v>
      </c>
      <c r="T449" t="s">
        <v>178</v>
      </c>
    </row>
    <row r="450" spans="1:20">
      <c r="A450">
        <v>427</v>
      </c>
      <c r="B450" t="s">
        <v>49</v>
      </c>
      <c r="C450" t="s">
        <v>12</v>
      </c>
      <c r="D450">
        <v>3</v>
      </c>
      <c r="E450">
        <v>78</v>
      </c>
      <c r="F450">
        <v>72</v>
      </c>
      <c r="G450">
        <v>70</v>
      </c>
      <c r="H450">
        <v>75</v>
      </c>
      <c r="I450" t="s">
        <v>13</v>
      </c>
      <c r="J450">
        <v>7</v>
      </c>
      <c r="K450">
        <v>4</v>
      </c>
      <c r="L450">
        <v>217</v>
      </c>
      <c r="M450">
        <v>72.333333333333329</v>
      </c>
      <c r="N450" t="s">
        <v>199</v>
      </c>
      <c r="O450">
        <v>24.111111111111111</v>
      </c>
      <c r="P450" t="s">
        <v>16</v>
      </c>
      <c r="Q450" t="s">
        <v>212</v>
      </c>
      <c r="R450" t="s">
        <v>215</v>
      </c>
      <c r="S450" t="s">
        <v>196</v>
      </c>
      <c r="T450" t="s">
        <v>179</v>
      </c>
    </row>
    <row r="451" spans="1:20">
      <c r="A451">
        <v>430</v>
      </c>
      <c r="B451" t="s">
        <v>36</v>
      </c>
      <c r="C451" t="s">
        <v>15</v>
      </c>
      <c r="D451">
        <v>3</v>
      </c>
      <c r="E451">
        <v>79</v>
      </c>
      <c r="F451">
        <v>74</v>
      </c>
      <c r="G451">
        <v>72</v>
      </c>
      <c r="H451">
        <v>76</v>
      </c>
      <c r="I451" t="s">
        <v>13</v>
      </c>
      <c r="J451">
        <v>7</v>
      </c>
      <c r="K451">
        <v>4</v>
      </c>
      <c r="L451">
        <v>222</v>
      </c>
      <c r="M451">
        <v>74</v>
      </c>
      <c r="N451" t="s">
        <v>199</v>
      </c>
      <c r="O451">
        <v>24.666666666666668</v>
      </c>
      <c r="P451" t="s">
        <v>16</v>
      </c>
      <c r="Q451" t="s">
        <v>212</v>
      </c>
      <c r="R451" t="s">
        <v>215</v>
      </c>
      <c r="S451" t="s">
        <v>196</v>
      </c>
      <c r="T451" t="s">
        <v>179</v>
      </c>
    </row>
    <row r="452" spans="1:20">
      <c r="A452">
        <v>431</v>
      </c>
      <c r="B452" t="s">
        <v>23</v>
      </c>
      <c r="C452" t="s">
        <v>12</v>
      </c>
      <c r="D452">
        <v>2</v>
      </c>
      <c r="E452">
        <v>70</v>
      </c>
      <c r="F452">
        <v>62</v>
      </c>
      <c r="G452">
        <v>60</v>
      </c>
      <c r="H452">
        <v>66</v>
      </c>
      <c r="I452" t="s">
        <v>16</v>
      </c>
      <c r="J452">
        <v>8</v>
      </c>
      <c r="K452">
        <v>5</v>
      </c>
      <c r="L452">
        <v>188</v>
      </c>
      <c r="M452">
        <v>62.666666666666664</v>
      </c>
      <c r="N452" t="s">
        <v>199</v>
      </c>
      <c r="O452">
        <v>31.333333333333332</v>
      </c>
      <c r="P452" t="s">
        <v>16</v>
      </c>
      <c r="Q452" t="s">
        <v>212</v>
      </c>
      <c r="R452" t="s">
        <v>215</v>
      </c>
      <c r="S452" t="s">
        <v>196</v>
      </c>
      <c r="T452" t="s">
        <v>178</v>
      </c>
    </row>
    <row r="453" spans="1:20">
      <c r="A453">
        <v>433</v>
      </c>
      <c r="B453" t="s">
        <v>59</v>
      </c>
      <c r="C453" t="s">
        <v>12</v>
      </c>
      <c r="D453">
        <v>3</v>
      </c>
      <c r="E453">
        <v>82</v>
      </c>
      <c r="F453">
        <v>76</v>
      </c>
      <c r="G453">
        <v>75</v>
      </c>
      <c r="H453">
        <v>80</v>
      </c>
      <c r="I453" t="s">
        <v>16</v>
      </c>
      <c r="J453">
        <v>7</v>
      </c>
      <c r="K453">
        <v>4</v>
      </c>
      <c r="L453">
        <v>231</v>
      </c>
      <c r="M453">
        <v>77</v>
      </c>
      <c r="N453" t="s">
        <v>199</v>
      </c>
      <c r="O453">
        <v>25.666666666666668</v>
      </c>
      <c r="P453" t="s">
        <v>16</v>
      </c>
      <c r="Q453" t="s">
        <v>212</v>
      </c>
      <c r="R453" t="s">
        <v>215</v>
      </c>
      <c r="S453" t="s">
        <v>195</v>
      </c>
      <c r="T453" t="s">
        <v>179</v>
      </c>
    </row>
    <row r="454" spans="1:20">
      <c r="A454">
        <v>435</v>
      </c>
      <c r="B454" t="s">
        <v>45</v>
      </c>
      <c r="C454" t="s">
        <v>12</v>
      </c>
      <c r="D454">
        <v>2</v>
      </c>
      <c r="E454">
        <v>68</v>
      </c>
      <c r="F454">
        <v>60</v>
      </c>
      <c r="G454">
        <v>58</v>
      </c>
      <c r="H454">
        <v>64</v>
      </c>
      <c r="I454" t="s">
        <v>16</v>
      </c>
      <c r="J454">
        <v>8</v>
      </c>
      <c r="K454">
        <v>5</v>
      </c>
      <c r="L454">
        <v>182</v>
      </c>
      <c r="M454">
        <v>60.666666666666664</v>
      </c>
      <c r="N454" t="s">
        <v>199</v>
      </c>
      <c r="O454">
        <v>30.333333333333332</v>
      </c>
      <c r="P454" t="s">
        <v>16</v>
      </c>
      <c r="Q454" t="s">
        <v>212</v>
      </c>
      <c r="R454" t="s">
        <v>215</v>
      </c>
      <c r="S454" t="s">
        <v>196</v>
      </c>
      <c r="T454" t="s">
        <v>178</v>
      </c>
    </row>
    <row r="455" spans="1:20">
      <c r="A455">
        <v>437</v>
      </c>
      <c r="B455" t="s">
        <v>63</v>
      </c>
      <c r="C455" t="s">
        <v>12</v>
      </c>
      <c r="D455">
        <v>3</v>
      </c>
      <c r="E455">
        <v>78</v>
      </c>
      <c r="F455">
        <v>72</v>
      </c>
      <c r="G455">
        <v>70</v>
      </c>
      <c r="H455">
        <v>75</v>
      </c>
      <c r="I455" t="s">
        <v>13</v>
      </c>
      <c r="J455">
        <v>7</v>
      </c>
      <c r="K455">
        <v>4</v>
      </c>
      <c r="L455">
        <v>217</v>
      </c>
      <c r="M455">
        <v>72.333333333333329</v>
      </c>
      <c r="N455" t="s">
        <v>199</v>
      </c>
      <c r="O455">
        <v>24.111111111111111</v>
      </c>
      <c r="P455" t="s">
        <v>16</v>
      </c>
      <c r="Q455" t="s">
        <v>212</v>
      </c>
      <c r="R455" t="s">
        <v>215</v>
      </c>
      <c r="S455" t="s">
        <v>196</v>
      </c>
      <c r="T455" t="s">
        <v>179</v>
      </c>
    </row>
    <row r="456" spans="1:20">
      <c r="A456">
        <v>440</v>
      </c>
      <c r="B456" t="s">
        <v>85</v>
      </c>
      <c r="C456" t="s">
        <v>12</v>
      </c>
      <c r="D456">
        <v>2</v>
      </c>
      <c r="E456">
        <v>70</v>
      </c>
      <c r="F456">
        <v>62</v>
      </c>
      <c r="G456">
        <v>60</v>
      </c>
      <c r="H456">
        <v>66</v>
      </c>
      <c r="I456" t="s">
        <v>16</v>
      </c>
      <c r="J456">
        <v>8</v>
      </c>
      <c r="K456">
        <v>5</v>
      </c>
      <c r="L456">
        <v>188</v>
      </c>
      <c r="M456">
        <v>62.666666666666664</v>
      </c>
      <c r="N456" t="s">
        <v>199</v>
      </c>
      <c r="O456">
        <v>31.333333333333332</v>
      </c>
      <c r="P456" t="s">
        <v>16</v>
      </c>
      <c r="Q456" t="s">
        <v>212</v>
      </c>
      <c r="R456" t="s">
        <v>215</v>
      </c>
      <c r="S456" t="s">
        <v>196</v>
      </c>
      <c r="T456" t="s">
        <v>178</v>
      </c>
    </row>
    <row r="457" spans="1:20">
      <c r="A457">
        <v>441</v>
      </c>
      <c r="B457" t="s">
        <v>71</v>
      </c>
      <c r="C457" t="s">
        <v>12</v>
      </c>
      <c r="D457">
        <v>3</v>
      </c>
      <c r="E457">
        <v>78</v>
      </c>
      <c r="F457">
        <v>72</v>
      </c>
      <c r="G457">
        <v>70</v>
      </c>
      <c r="H457">
        <v>75</v>
      </c>
      <c r="I457" t="s">
        <v>13</v>
      </c>
      <c r="J457">
        <v>7</v>
      </c>
      <c r="K457">
        <v>4</v>
      </c>
      <c r="L457">
        <v>217</v>
      </c>
      <c r="M457">
        <v>72.333333333333329</v>
      </c>
      <c r="N457" t="s">
        <v>199</v>
      </c>
      <c r="O457">
        <v>24.111111111111111</v>
      </c>
      <c r="P457" t="s">
        <v>16</v>
      </c>
      <c r="Q457" t="s">
        <v>212</v>
      </c>
      <c r="R457" t="s">
        <v>215</v>
      </c>
      <c r="S457" t="s">
        <v>196</v>
      </c>
      <c r="T457" t="s">
        <v>179</v>
      </c>
    </row>
    <row r="458" spans="1:20">
      <c r="A458">
        <v>452</v>
      </c>
      <c r="B458" t="s">
        <v>35</v>
      </c>
      <c r="C458" t="s">
        <v>12</v>
      </c>
      <c r="D458">
        <v>2</v>
      </c>
      <c r="E458">
        <v>70</v>
      </c>
      <c r="F458">
        <v>62</v>
      </c>
      <c r="G458">
        <v>60</v>
      </c>
      <c r="H458">
        <v>66</v>
      </c>
      <c r="I458" t="s">
        <v>16</v>
      </c>
      <c r="J458">
        <v>8</v>
      </c>
      <c r="K458">
        <v>5</v>
      </c>
      <c r="L458">
        <v>188</v>
      </c>
      <c r="M458">
        <v>62.666666666666664</v>
      </c>
      <c r="N458" t="s">
        <v>199</v>
      </c>
      <c r="O458">
        <v>31.333333333333332</v>
      </c>
      <c r="P458" t="s">
        <v>16</v>
      </c>
      <c r="Q458" t="s">
        <v>212</v>
      </c>
      <c r="R458" t="s">
        <v>215</v>
      </c>
      <c r="S458" t="s">
        <v>196</v>
      </c>
      <c r="T458" t="s">
        <v>178</v>
      </c>
    </row>
    <row r="459" spans="1:20">
      <c r="A459">
        <v>443</v>
      </c>
      <c r="B459" t="s">
        <v>65</v>
      </c>
      <c r="C459" t="s">
        <v>12</v>
      </c>
      <c r="D459">
        <v>3</v>
      </c>
      <c r="E459">
        <v>85</v>
      </c>
      <c r="F459">
        <v>78</v>
      </c>
      <c r="G459">
        <v>72</v>
      </c>
      <c r="H459">
        <v>80</v>
      </c>
      <c r="I459" t="s">
        <v>13</v>
      </c>
      <c r="J459">
        <v>7</v>
      </c>
      <c r="K459">
        <v>3</v>
      </c>
      <c r="L459">
        <v>230</v>
      </c>
      <c r="M459">
        <v>76.666666666666671</v>
      </c>
      <c r="N459" t="s">
        <v>199</v>
      </c>
      <c r="O459">
        <v>25.555555555555557</v>
      </c>
      <c r="P459" t="s">
        <v>16</v>
      </c>
      <c r="Q459" t="s">
        <v>212</v>
      </c>
      <c r="R459" t="s">
        <v>215</v>
      </c>
      <c r="S459" t="s">
        <v>195</v>
      </c>
      <c r="T459" t="s">
        <v>179</v>
      </c>
    </row>
    <row r="460" spans="1:20">
      <c r="A460">
        <v>445</v>
      </c>
      <c r="B460" t="s">
        <v>39</v>
      </c>
      <c r="C460" t="s">
        <v>12</v>
      </c>
      <c r="D460">
        <v>2</v>
      </c>
      <c r="E460">
        <v>70</v>
      </c>
      <c r="F460">
        <v>62</v>
      </c>
      <c r="G460">
        <v>60</v>
      </c>
      <c r="H460">
        <v>66</v>
      </c>
      <c r="I460" t="s">
        <v>16</v>
      </c>
      <c r="J460">
        <v>8</v>
      </c>
      <c r="K460">
        <v>5</v>
      </c>
      <c r="L460">
        <v>188</v>
      </c>
      <c r="M460">
        <v>62.666666666666664</v>
      </c>
      <c r="N460" t="s">
        <v>199</v>
      </c>
      <c r="O460">
        <v>31.333333333333332</v>
      </c>
      <c r="P460" t="s">
        <v>16</v>
      </c>
      <c r="Q460" t="s">
        <v>212</v>
      </c>
      <c r="R460" t="s">
        <v>215</v>
      </c>
      <c r="S460" t="s">
        <v>196</v>
      </c>
      <c r="T460" t="s">
        <v>178</v>
      </c>
    </row>
    <row r="461" spans="1:20">
      <c r="A461">
        <v>450</v>
      </c>
      <c r="B461" t="s">
        <v>157</v>
      </c>
      <c r="C461" t="s">
        <v>12</v>
      </c>
      <c r="D461">
        <v>2</v>
      </c>
      <c r="E461">
        <v>68</v>
      </c>
      <c r="F461">
        <v>60</v>
      </c>
      <c r="G461">
        <v>58</v>
      </c>
      <c r="H461">
        <v>64</v>
      </c>
      <c r="I461" t="s">
        <v>16</v>
      </c>
      <c r="J461">
        <v>8</v>
      </c>
      <c r="K461">
        <v>5</v>
      </c>
      <c r="L461">
        <v>182</v>
      </c>
      <c r="M461">
        <v>60.666666666666664</v>
      </c>
      <c r="N461" t="s">
        <v>199</v>
      </c>
      <c r="O461">
        <v>30.333333333333332</v>
      </c>
      <c r="P461" t="s">
        <v>16</v>
      </c>
      <c r="Q461" t="s">
        <v>212</v>
      </c>
      <c r="R461" t="s">
        <v>215</v>
      </c>
      <c r="S461" t="s">
        <v>196</v>
      </c>
      <c r="T461" t="s">
        <v>178</v>
      </c>
    </row>
    <row r="462" spans="1:20">
      <c r="A462">
        <v>453</v>
      </c>
      <c r="B462" t="s">
        <v>82</v>
      </c>
      <c r="C462" t="s">
        <v>12</v>
      </c>
      <c r="D462">
        <v>3</v>
      </c>
      <c r="E462">
        <v>78</v>
      </c>
      <c r="F462">
        <v>72</v>
      </c>
      <c r="G462">
        <v>70</v>
      </c>
      <c r="H462">
        <v>75</v>
      </c>
      <c r="I462" t="s">
        <v>13</v>
      </c>
      <c r="J462">
        <v>7</v>
      </c>
      <c r="K462">
        <v>4</v>
      </c>
      <c r="L462">
        <v>217</v>
      </c>
      <c r="M462">
        <v>72.333333333333329</v>
      </c>
      <c r="N462" t="s">
        <v>199</v>
      </c>
      <c r="O462">
        <v>24.111111111111111</v>
      </c>
      <c r="P462" t="s">
        <v>16</v>
      </c>
      <c r="Q462" t="s">
        <v>212</v>
      </c>
      <c r="R462" t="s">
        <v>215</v>
      </c>
      <c r="S462" t="s">
        <v>196</v>
      </c>
      <c r="T462" t="s">
        <v>179</v>
      </c>
    </row>
    <row r="463" spans="1:20">
      <c r="A463">
        <v>456</v>
      </c>
      <c r="B463" t="s">
        <v>165</v>
      </c>
      <c r="C463" t="s">
        <v>15</v>
      </c>
      <c r="D463">
        <v>3</v>
      </c>
      <c r="E463">
        <v>79</v>
      </c>
      <c r="F463">
        <v>74</v>
      </c>
      <c r="G463">
        <v>72</v>
      </c>
      <c r="H463">
        <v>76</v>
      </c>
      <c r="I463" t="s">
        <v>13</v>
      </c>
      <c r="J463">
        <v>7</v>
      </c>
      <c r="K463">
        <v>4</v>
      </c>
      <c r="L463">
        <v>222</v>
      </c>
      <c r="M463">
        <v>74</v>
      </c>
      <c r="N463" t="s">
        <v>199</v>
      </c>
      <c r="O463">
        <v>24.666666666666668</v>
      </c>
      <c r="P463" t="s">
        <v>16</v>
      </c>
      <c r="Q463" t="s">
        <v>212</v>
      </c>
      <c r="R463" t="s">
        <v>215</v>
      </c>
      <c r="S463" t="s">
        <v>196</v>
      </c>
      <c r="T463" t="s">
        <v>179</v>
      </c>
    </row>
    <row r="464" spans="1:20">
      <c r="A464">
        <v>457</v>
      </c>
      <c r="B464" t="s">
        <v>33</v>
      </c>
      <c r="C464" t="s">
        <v>12</v>
      </c>
      <c r="D464">
        <v>2</v>
      </c>
      <c r="E464">
        <v>70</v>
      </c>
      <c r="F464">
        <v>62</v>
      </c>
      <c r="G464">
        <v>60</v>
      </c>
      <c r="H464">
        <v>66</v>
      </c>
      <c r="I464" t="s">
        <v>16</v>
      </c>
      <c r="J464">
        <v>8</v>
      </c>
      <c r="K464">
        <v>5</v>
      </c>
      <c r="L464">
        <v>188</v>
      </c>
      <c r="M464">
        <v>62.666666666666664</v>
      </c>
      <c r="N464" t="s">
        <v>199</v>
      </c>
      <c r="O464">
        <v>31.333333333333332</v>
      </c>
      <c r="P464" t="s">
        <v>16</v>
      </c>
      <c r="Q464" t="s">
        <v>212</v>
      </c>
      <c r="R464" t="s">
        <v>215</v>
      </c>
      <c r="S464" t="s">
        <v>196</v>
      </c>
      <c r="T464" t="s">
        <v>178</v>
      </c>
    </row>
    <row r="465" spans="1:20">
      <c r="A465">
        <v>459</v>
      </c>
      <c r="B465" t="s">
        <v>27</v>
      </c>
      <c r="C465" t="s">
        <v>12</v>
      </c>
      <c r="D465">
        <v>3</v>
      </c>
      <c r="E465">
        <v>82</v>
      </c>
      <c r="F465">
        <v>76</v>
      </c>
      <c r="G465">
        <v>75</v>
      </c>
      <c r="H465">
        <v>80</v>
      </c>
      <c r="I465" t="s">
        <v>16</v>
      </c>
      <c r="J465">
        <v>7</v>
      </c>
      <c r="K465">
        <v>4</v>
      </c>
      <c r="L465">
        <v>231</v>
      </c>
      <c r="M465">
        <v>77</v>
      </c>
      <c r="N465" t="s">
        <v>199</v>
      </c>
      <c r="O465">
        <v>25.666666666666668</v>
      </c>
      <c r="P465" t="s">
        <v>16</v>
      </c>
      <c r="Q465" t="s">
        <v>212</v>
      </c>
      <c r="R465" t="s">
        <v>215</v>
      </c>
      <c r="S465" t="s">
        <v>195</v>
      </c>
      <c r="T465" t="s">
        <v>179</v>
      </c>
    </row>
    <row r="466" spans="1:20">
      <c r="A466">
        <v>461</v>
      </c>
      <c r="B466" t="s">
        <v>35</v>
      </c>
      <c r="C466" t="s">
        <v>12</v>
      </c>
      <c r="D466">
        <v>2</v>
      </c>
      <c r="E466">
        <v>68</v>
      </c>
      <c r="F466">
        <v>60</v>
      </c>
      <c r="G466">
        <v>58</v>
      </c>
      <c r="H466">
        <v>64</v>
      </c>
      <c r="I466" t="s">
        <v>16</v>
      </c>
      <c r="J466">
        <v>8</v>
      </c>
      <c r="K466">
        <v>5</v>
      </c>
      <c r="L466">
        <v>182</v>
      </c>
      <c r="M466">
        <v>60.666666666666664</v>
      </c>
      <c r="N466" t="s">
        <v>199</v>
      </c>
      <c r="O466">
        <v>30.333333333333332</v>
      </c>
      <c r="P466" t="s">
        <v>16</v>
      </c>
      <c r="Q466" t="s">
        <v>212</v>
      </c>
      <c r="R466" t="s">
        <v>215</v>
      </c>
      <c r="S466" t="s">
        <v>196</v>
      </c>
      <c r="T466" t="s">
        <v>178</v>
      </c>
    </row>
    <row r="467" spans="1:20">
      <c r="A467">
        <v>463</v>
      </c>
      <c r="B467" t="s">
        <v>49</v>
      </c>
      <c r="C467" t="s">
        <v>12</v>
      </c>
      <c r="D467">
        <v>3</v>
      </c>
      <c r="E467">
        <v>78</v>
      </c>
      <c r="F467">
        <v>72</v>
      </c>
      <c r="G467">
        <v>70</v>
      </c>
      <c r="H467">
        <v>75</v>
      </c>
      <c r="I467" t="s">
        <v>13</v>
      </c>
      <c r="J467">
        <v>7</v>
      </c>
      <c r="K467">
        <v>4</v>
      </c>
      <c r="L467">
        <v>217</v>
      </c>
      <c r="M467">
        <v>72.333333333333329</v>
      </c>
      <c r="N467" t="s">
        <v>199</v>
      </c>
      <c r="O467">
        <v>24.111111111111111</v>
      </c>
      <c r="P467" t="s">
        <v>16</v>
      </c>
      <c r="Q467" t="s">
        <v>212</v>
      </c>
      <c r="R467" t="s">
        <v>215</v>
      </c>
      <c r="S467" t="s">
        <v>196</v>
      </c>
      <c r="T467" t="s">
        <v>179</v>
      </c>
    </row>
    <row r="468" spans="1:20">
      <c r="A468">
        <v>466</v>
      </c>
      <c r="B468" t="s">
        <v>36</v>
      </c>
      <c r="C468" t="s">
        <v>15</v>
      </c>
      <c r="D468">
        <v>3</v>
      </c>
      <c r="E468">
        <v>79</v>
      </c>
      <c r="F468">
        <v>74</v>
      </c>
      <c r="G468">
        <v>72</v>
      </c>
      <c r="H468">
        <v>76</v>
      </c>
      <c r="I468" t="s">
        <v>13</v>
      </c>
      <c r="J468">
        <v>7</v>
      </c>
      <c r="K468">
        <v>4</v>
      </c>
      <c r="L468">
        <v>222</v>
      </c>
      <c r="M468">
        <v>74</v>
      </c>
      <c r="N468" t="s">
        <v>199</v>
      </c>
      <c r="O468">
        <v>24.666666666666668</v>
      </c>
      <c r="P468" t="s">
        <v>16</v>
      </c>
      <c r="Q468" t="s">
        <v>212</v>
      </c>
      <c r="R468" t="s">
        <v>215</v>
      </c>
      <c r="S468" t="s">
        <v>196</v>
      </c>
      <c r="T468" t="s">
        <v>179</v>
      </c>
    </row>
    <row r="469" spans="1:20">
      <c r="A469">
        <v>467</v>
      </c>
      <c r="B469" t="s">
        <v>23</v>
      </c>
      <c r="C469" t="s">
        <v>12</v>
      </c>
      <c r="D469">
        <v>2</v>
      </c>
      <c r="E469">
        <v>70</v>
      </c>
      <c r="F469">
        <v>62</v>
      </c>
      <c r="G469">
        <v>60</v>
      </c>
      <c r="H469">
        <v>66</v>
      </c>
      <c r="I469" t="s">
        <v>16</v>
      </c>
      <c r="J469">
        <v>8</v>
      </c>
      <c r="K469">
        <v>5</v>
      </c>
      <c r="L469">
        <v>188</v>
      </c>
      <c r="M469">
        <v>62.666666666666664</v>
      </c>
      <c r="N469" t="s">
        <v>199</v>
      </c>
      <c r="O469">
        <v>31.333333333333332</v>
      </c>
      <c r="P469" t="s">
        <v>16</v>
      </c>
      <c r="Q469" t="s">
        <v>212</v>
      </c>
      <c r="R469" t="s">
        <v>215</v>
      </c>
      <c r="S469" t="s">
        <v>196</v>
      </c>
      <c r="T469" t="s">
        <v>178</v>
      </c>
    </row>
    <row r="470" spans="1:20">
      <c r="A470">
        <v>469</v>
      </c>
      <c r="B470" t="s">
        <v>59</v>
      </c>
      <c r="C470" t="s">
        <v>12</v>
      </c>
      <c r="D470">
        <v>3</v>
      </c>
      <c r="E470">
        <v>82</v>
      </c>
      <c r="F470">
        <v>76</v>
      </c>
      <c r="G470">
        <v>75</v>
      </c>
      <c r="H470">
        <v>80</v>
      </c>
      <c r="I470" t="s">
        <v>16</v>
      </c>
      <c r="J470">
        <v>7</v>
      </c>
      <c r="K470">
        <v>4</v>
      </c>
      <c r="L470">
        <v>231</v>
      </c>
      <c r="M470">
        <v>77</v>
      </c>
      <c r="N470" t="s">
        <v>199</v>
      </c>
      <c r="O470">
        <v>25.666666666666668</v>
      </c>
      <c r="P470" t="s">
        <v>16</v>
      </c>
      <c r="Q470" t="s">
        <v>212</v>
      </c>
      <c r="R470" t="s">
        <v>215</v>
      </c>
      <c r="S470" t="s">
        <v>195</v>
      </c>
      <c r="T470" t="s">
        <v>179</v>
      </c>
    </row>
    <row r="471" spans="1:20">
      <c r="A471">
        <v>471</v>
      </c>
      <c r="B471" t="s">
        <v>45</v>
      </c>
      <c r="C471" t="s">
        <v>12</v>
      </c>
      <c r="D471">
        <v>2</v>
      </c>
      <c r="E471">
        <v>68</v>
      </c>
      <c r="F471">
        <v>60</v>
      </c>
      <c r="G471">
        <v>58</v>
      </c>
      <c r="H471">
        <v>64</v>
      </c>
      <c r="I471" t="s">
        <v>16</v>
      </c>
      <c r="J471">
        <v>8</v>
      </c>
      <c r="K471">
        <v>5</v>
      </c>
      <c r="L471">
        <v>182</v>
      </c>
      <c r="M471">
        <v>60.666666666666664</v>
      </c>
      <c r="N471" t="s">
        <v>199</v>
      </c>
      <c r="O471">
        <v>30.333333333333332</v>
      </c>
      <c r="P471" t="s">
        <v>16</v>
      </c>
      <c r="Q471" t="s">
        <v>212</v>
      </c>
      <c r="R471" t="s">
        <v>215</v>
      </c>
      <c r="S471" t="s">
        <v>196</v>
      </c>
      <c r="T471" t="s">
        <v>178</v>
      </c>
    </row>
    <row r="472" spans="1:20">
      <c r="A472">
        <v>473</v>
      </c>
      <c r="B472" t="s">
        <v>63</v>
      </c>
      <c r="C472" t="s">
        <v>12</v>
      </c>
      <c r="D472">
        <v>3</v>
      </c>
      <c r="E472">
        <v>78</v>
      </c>
      <c r="F472">
        <v>72</v>
      </c>
      <c r="G472">
        <v>70</v>
      </c>
      <c r="H472">
        <v>75</v>
      </c>
      <c r="I472" t="s">
        <v>13</v>
      </c>
      <c r="J472">
        <v>7</v>
      </c>
      <c r="K472">
        <v>4</v>
      </c>
      <c r="L472">
        <v>217</v>
      </c>
      <c r="M472">
        <v>72.333333333333329</v>
      </c>
      <c r="N472" t="s">
        <v>199</v>
      </c>
      <c r="O472">
        <v>24.111111111111111</v>
      </c>
      <c r="P472" t="s">
        <v>16</v>
      </c>
      <c r="Q472" t="s">
        <v>212</v>
      </c>
      <c r="R472" t="s">
        <v>215</v>
      </c>
      <c r="S472" t="s">
        <v>196</v>
      </c>
      <c r="T472" t="s">
        <v>179</v>
      </c>
    </row>
    <row r="473" spans="1:20">
      <c r="A473">
        <v>476</v>
      </c>
      <c r="B473" t="s">
        <v>85</v>
      </c>
      <c r="C473" t="s">
        <v>12</v>
      </c>
      <c r="D473">
        <v>2</v>
      </c>
      <c r="E473">
        <v>70</v>
      </c>
      <c r="F473">
        <v>62</v>
      </c>
      <c r="G473">
        <v>60</v>
      </c>
      <c r="H473">
        <v>66</v>
      </c>
      <c r="I473" t="s">
        <v>16</v>
      </c>
      <c r="J473">
        <v>8</v>
      </c>
      <c r="K473">
        <v>5</v>
      </c>
      <c r="L473">
        <v>188</v>
      </c>
      <c r="M473">
        <v>62.666666666666664</v>
      </c>
      <c r="N473" t="s">
        <v>199</v>
      </c>
      <c r="O473">
        <v>31.333333333333332</v>
      </c>
      <c r="P473" t="s">
        <v>16</v>
      </c>
      <c r="Q473" t="s">
        <v>212</v>
      </c>
      <c r="R473" t="s">
        <v>215</v>
      </c>
      <c r="S473" t="s">
        <v>196</v>
      </c>
      <c r="T473" t="s">
        <v>178</v>
      </c>
    </row>
    <row r="474" spans="1:20">
      <c r="A474">
        <v>478</v>
      </c>
      <c r="B474" t="s">
        <v>147</v>
      </c>
      <c r="C474" t="s">
        <v>12</v>
      </c>
      <c r="D474">
        <v>3</v>
      </c>
      <c r="E474">
        <v>82</v>
      </c>
      <c r="F474">
        <v>76</v>
      </c>
      <c r="G474">
        <v>75</v>
      </c>
      <c r="H474">
        <v>80</v>
      </c>
      <c r="I474" t="s">
        <v>16</v>
      </c>
      <c r="J474">
        <v>7</v>
      </c>
      <c r="K474">
        <v>4</v>
      </c>
      <c r="L474">
        <v>231</v>
      </c>
      <c r="M474">
        <v>77</v>
      </c>
      <c r="N474" t="s">
        <v>199</v>
      </c>
      <c r="O474">
        <v>25.666666666666668</v>
      </c>
      <c r="P474" t="s">
        <v>16</v>
      </c>
      <c r="Q474" t="s">
        <v>212</v>
      </c>
      <c r="R474" t="s">
        <v>215</v>
      </c>
      <c r="S474" t="s">
        <v>195</v>
      </c>
      <c r="T474" t="s">
        <v>179</v>
      </c>
    </row>
    <row r="475" spans="1:20">
      <c r="A475">
        <v>480</v>
      </c>
      <c r="B475" t="s">
        <v>91</v>
      </c>
      <c r="C475" t="s">
        <v>15</v>
      </c>
      <c r="D475">
        <v>2</v>
      </c>
      <c r="E475">
        <v>68</v>
      </c>
      <c r="F475">
        <v>60</v>
      </c>
      <c r="G475">
        <v>58</v>
      </c>
      <c r="H475">
        <v>64</v>
      </c>
      <c r="I475" t="s">
        <v>16</v>
      </c>
      <c r="J475">
        <v>8</v>
      </c>
      <c r="K475">
        <v>5</v>
      </c>
      <c r="L475">
        <v>182</v>
      </c>
      <c r="M475">
        <v>60.666666666666664</v>
      </c>
      <c r="N475" t="s">
        <v>199</v>
      </c>
      <c r="O475">
        <v>30.333333333333332</v>
      </c>
      <c r="P475" t="s">
        <v>16</v>
      </c>
      <c r="Q475" t="s">
        <v>212</v>
      </c>
      <c r="R475" t="s">
        <v>215</v>
      </c>
      <c r="S475" t="s">
        <v>196</v>
      </c>
      <c r="T475" t="s">
        <v>178</v>
      </c>
    </row>
    <row r="476" spans="1:20">
      <c r="A476">
        <v>482</v>
      </c>
      <c r="B476" t="s">
        <v>57</v>
      </c>
      <c r="C476" t="s">
        <v>12</v>
      </c>
      <c r="D476">
        <v>3</v>
      </c>
      <c r="E476">
        <v>78</v>
      </c>
      <c r="F476">
        <v>72</v>
      </c>
      <c r="G476">
        <v>70</v>
      </c>
      <c r="H476">
        <v>75</v>
      </c>
      <c r="I476" t="s">
        <v>13</v>
      </c>
      <c r="J476">
        <v>7</v>
      </c>
      <c r="K476">
        <v>4</v>
      </c>
      <c r="L476">
        <v>217</v>
      </c>
      <c r="M476">
        <v>72.333333333333329</v>
      </c>
      <c r="N476" t="s">
        <v>199</v>
      </c>
      <c r="O476">
        <v>24.111111111111111</v>
      </c>
      <c r="P476" t="s">
        <v>16</v>
      </c>
      <c r="Q476" t="s">
        <v>212</v>
      </c>
      <c r="R476" t="s">
        <v>215</v>
      </c>
      <c r="S476" t="s">
        <v>196</v>
      </c>
      <c r="T476" t="s">
        <v>179</v>
      </c>
    </row>
    <row r="477" spans="1:20">
      <c r="A477">
        <v>485</v>
      </c>
      <c r="B477" t="s">
        <v>54</v>
      </c>
      <c r="C477" t="s">
        <v>15</v>
      </c>
      <c r="D477">
        <v>3</v>
      </c>
      <c r="E477">
        <v>79</v>
      </c>
      <c r="F477">
        <v>74</v>
      </c>
      <c r="G477">
        <v>72</v>
      </c>
      <c r="H477">
        <v>76</v>
      </c>
      <c r="I477" t="s">
        <v>13</v>
      </c>
      <c r="J477">
        <v>7</v>
      </c>
      <c r="K477">
        <v>4</v>
      </c>
      <c r="L477">
        <v>222</v>
      </c>
      <c r="M477">
        <v>74</v>
      </c>
      <c r="N477" t="s">
        <v>199</v>
      </c>
      <c r="O477">
        <v>24.666666666666668</v>
      </c>
      <c r="P477" t="s">
        <v>16</v>
      </c>
      <c r="Q477" t="s">
        <v>212</v>
      </c>
      <c r="R477" t="s">
        <v>215</v>
      </c>
      <c r="S477" t="s">
        <v>196</v>
      </c>
      <c r="T477" t="s">
        <v>179</v>
      </c>
    </row>
    <row r="478" spans="1:20">
      <c r="A478">
        <v>486</v>
      </c>
      <c r="B478" t="s">
        <v>19</v>
      </c>
      <c r="C478" t="s">
        <v>12</v>
      </c>
      <c r="D478">
        <v>2</v>
      </c>
      <c r="E478">
        <v>70</v>
      </c>
      <c r="F478">
        <v>62</v>
      </c>
      <c r="G478">
        <v>60</v>
      </c>
      <c r="H478">
        <v>66</v>
      </c>
      <c r="I478" t="s">
        <v>16</v>
      </c>
      <c r="J478">
        <v>8</v>
      </c>
      <c r="K478">
        <v>5</v>
      </c>
      <c r="L478">
        <v>188</v>
      </c>
      <c r="M478">
        <v>62.666666666666664</v>
      </c>
      <c r="N478" t="s">
        <v>199</v>
      </c>
      <c r="O478">
        <v>31.333333333333332</v>
      </c>
      <c r="P478" t="s">
        <v>16</v>
      </c>
      <c r="Q478" t="s">
        <v>212</v>
      </c>
      <c r="R478" t="s">
        <v>215</v>
      </c>
      <c r="S478" t="s">
        <v>196</v>
      </c>
      <c r="T478" t="s">
        <v>178</v>
      </c>
    </row>
    <row r="479" spans="1:20">
      <c r="A479">
        <v>488</v>
      </c>
      <c r="B479" t="s">
        <v>11</v>
      </c>
      <c r="C479" t="s">
        <v>12</v>
      </c>
      <c r="D479">
        <v>3</v>
      </c>
      <c r="E479">
        <v>82</v>
      </c>
      <c r="F479">
        <v>76</v>
      </c>
      <c r="G479">
        <v>75</v>
      </c>
      <c r="H479">
        <v>80</v>
      </c>
      <c r="I479" t="s">
        <v>16</v>
      </c>
      <c r="J479">
        <v>7</v>
      </c>
      <c r="K479">
        <v>4</v>
      </c>
      <c r="L479">
        <v>231</v>
      </c>
      <c r="M479">
        <v>77</v>
      </c>
      <c r="N479" t="s">
        <v>199</v>
      </c>
      <c r="O479">
        <v>25.666666666666668</v>
      </c>
      <c r="P479" t="s">
        <v>16</v>
      </c>
      <c r="Q479" t="s">
        <v>212</v>
      </c>
      <c r="R479" t="s">
        <v>215</v>
      </c>
      <c r="S479" t="s">
        <v>195</v>
      </c>
      <c r="T479" t="s">
        <v>179</v>
      </c>
    </row>
    <row r="480" spans="1:20">
      <c r="A480">
        <v>489</v>
      </c>
      <c r="B480" t="s">
        <v>165</v>
      </c>
      <c r="C480" t="s">
        <v>12</v>
      </c>
      <c r="D480">
        <v>3</v>
      </c>
      <c r="E480">
        <v>80</v>
      </c>
      <c r="F480">
        <v>75</v>
      </c>
      <c r="G480">
        <v>73</v>
      </c>
      <c r="H480">
        <v>78</v>
      </c>
      <c r="I480" t="s">
        <v>13</v>
      </c>
      <c r="J480">
        <v>7</v>
      </c>
      <c r="K480">
        <v>4</v>
      </c>
      <c r="L480">
        <v>226</v>
      </c>
      <c r="M480">
        <v>75.333333333333329</v>
      </c>
      <c r="N480" t="s">
        <v>199</v>
      </c>
      <c r="O480">
        <v>25.111111111111111</v>
      </c>
      <c r="P480" t="s">
        <v>16</v>
      </c>
      <c r="Q480" t="s">
        <v>212</v>
      </c>
      <c r="R480" t="s">
        <v>215</v>
      </c>
      <c r="S480" t="s">
        <v>195</v>
      </c>
      <c r="T480" t="s">
        <v>179</v>
      </c>
    </row>
    <row r="481" spans="1:20">
      <c r="A481">
        <v>492</v>
      </c>
      <c r="B481" t="s">
        <v>160</v>
      </c>
      <c r="C481" t="s">
        <v>12</v>
      </c>
      <c r="D481">
        <v>2</v>
      </c>
      <c r="E481">
        <v>70</v>
      </c>
      <c r="F481">
        <v>62</v>
      </c>
      <c r="G481">
        <v>60</v>
      </c>
      <c r="H481">
        <v>66</v>
      </c>
      <c r="I481" t="s">
        <v>16</v>
      </c>
      <c r="J481">
        <v>8</v>
      </c>
      <c r="K481">
        <v>5</v>
      </c>
      <c r="L481">
        <v>188</v>
      </c>
      <c r="M481">
        <v>62.666666666666664</v>
      </c>
      <c r="N481" t="s">
        <v>199</v>
      </c>
      <c r="O481">
        <v>31.333333333333332</v>
      </c>
      <c r="P481" t="s">
        <v>16</v>
      </c>
      <c r="Q481" t="s">
        <v>212</v>
      </c>
      <c r="R481" t="s">
        <v>215</v>
      </c>
      <c r="S481" t="s">
        <v>196</v>
      </c>
      <c r="T481" t="s">
        <v>178</v>
      </c>
    </row>
    <row r="482" spans="1:20">
      <c r="A482">
        <v>494</v>
      </c>
      <c r="B482" t="s">
        <v>71</v>
      </c>
      <c r="C482" t="s">
        <v>12</v>
      </c>
      <c r="D482">
        <v>3</v>
      </c>
      <c r="E482">
        <v>78</v>
      </c>
      <c r="F482">
        <v>72</v>
      </c>
      <c r="G482">
        <v>70</v>
      </c>
      <c r="H482">
        <v>75</v>
      </c>
      <c r="I482" t="s">
        <v>13</v>
      </c>
      <c r="J482">
        <v>7</v>
      </c>
      <c r="K482">
        <v>4</v>
      </c>
      <c r="L482">
        <v>217</v>
      </c>
      <c r="M482">
        <v>72.333333333333329</v>
      </c>
      <c r="N482" t="s">
        <v>199</v>
      </c>
      <c r="O482">
        <v>24.111111111111111</v>
      </c>
      <c r="P482" t="s">
        <v>16</v>
      </c>
      <c r="Q482" t="s">
        <v>212</v>
      </c>
      <c r="R482" t="s">
        <v>215</v>
      </c>
      <c r="S482" t="s">
        <v>196</v>
      </c>
      <c r="T482" t="s">
        <v>179</v>
      </c>
    </row>
    <row r="483" spans="1:20">
      <c r="A483">
        <v>496</v>
      </c>
      <c r="B483" t="s">
        <v>165</v>
      </c>
      <c r="C483" t="s">
        <v>15</v>
      </c>
      <c r="D483">
        <v>2</v>
      </c>
      <c r="E483">
        <v>68</v>
      </c>
      <c r="F483">
        <v>60</v>
      </c>
      <c r="G483">
        <v>58</v>
      </c>
      <c r="H483">
        <v>64</v>
      </c>
      <c r="I483" t="s">
        <v>16</v>
      </c>
      <c r="J483">
        <v>8</v>
      </c>
      <c r="K483">
        <v>5</v>
      </c>
      <c r="L483">
        <v>182</v>
      </c>
      <c r="M483">
        <v>60.666666666666664</v>
      </c>
      <c r="N483" t="s">
        <v>199</v>
      </c>
      <c r="O483">
        <v>30.333333333333332</v>
      </c>
      <c r="P483" t="s">
        <v>16</v>
      </c>
      <c r="Q483" t="s">
        <v>212</v>
      </c>
      <c r="R483" t="s">
        <v>215</v>
      </c>
      <c r="S483" t="s">
        <v>196</v>
      </c>
      <c r="T483" t="s">
        <v>178</v>
      </c>
    </row>
    <row r="484" spans="1:20">
      <c r="A484">
        <v>499</v>
      </c>
      <c r="B484" t="s">
        <v>37</v>
      </c>
      <c r="C484" t="s">
        <v>12</v>
      </c>
      <c r="D484">
        <v>3</v>
      </c>
      <c r="E484">
        <v>80</v>
      </c>
      <c r="F484">
        <v>75</v>
      </c>
      <c r="G484">
        <v>73</v>
      </c>
      <c r="H484">
        <v>78</v>
      </c>
      <c r="I484" t="s">
        <v>13</v>
      </c>
      <c r="J484">
        <v>7</v>
      </c>
      <c r="K484">
        <v>4</v>
      </c>
      <c r="L484">
        <v>226</v>
      </c>
      <c r="M484">
        <v>75.333333333333329</v>
      </c>
      <c r="N484" t="s">
        <v>199</v>
      </c>
      <c r="O484">
        <v>25.111111111111111</v>
      </c>
      <c r="P484" t="s">
        <v>16</v>
      </c>
      <c r="Q484" t="s">
        <v>212</v>
      </c>
      <c r="R484" t="s">
        <v>215</v>
      </c>
      <c r="S484" t="s">
        <v>195</v>
      </c>
      <c r="T484" t="s">
        <v>179</v>
      </c>
    </row>
    <row r="485" spans="1:20">
      <c r="A485">
        <v>6</v>
      </c>
      <c r="B485" t="s">
        <v>20</v>
      </c>
      <c r="C485" t="s">
        <v>15</v>
      </c>
      <c r="D485">
        <v>3</v>
      </c>
      <c r="E485">
        <v>80</v>
      </c>
      <c r="F485">
        <v>0</v>
      </c>
      <c r="G485">
        <v>70</v>
      </c>
      <c r="H485">
        <v>78</v>
      </c>
      <c r="I485" t="s">
        <v>13</v>
      </c>
      <c r="J485">
        <v>7</v>
      </c>
      <c r="K485">
        <v>4</v>
      </c>
      <c r="L485">
        <v>148</v>
      </c>
      <c r="M485">
        <v>49.333333333333336</v>
      </c>
      <c r="N485" t="s">
        <v>200</v>
      </c>
      <c r="O485">
        <v>16.444444444444446</v>
      </c>
      <c r="P485" t="s">
        <v>16</v>
      </c>
      <c r="Q485" t="s">
        <v>212</v>
      </c>
      <c r="R485" t="s">
        <v>215</v>
      </c>
      <c r="S485" t="s">
        <v>195</v>
      </c>
      <c r="T485" t="s">
        <v>176</v>
      </c>
    </row>
    <row r="486" spans="1:20">
      <c r="A486">
        <v>15</v>
      </c>
      <c r="B486" t="s">
        <v>29</v>
      </c>
      <c r="C486" t="s">
        <v>12</v>
      </c>
      <c r="D486">
        <v>2</v>
      </c>
      <c r="E486">
        <v>68</v>
      </c>
      <c r="F486">
        <v>60</v>
      </c>
      <c r="G486">
        <v>0</v>
      </c>
      <c r="H486">
        <v>65</v>
      </c>
      <c r="I486" t="s">
        <v>16</v>
      </c>
      <c r="J486">
        <v>8</v>
      </c>
      <c r="K486">
        <v>5</v>
      </c>
      <c r="L486">
        <v>125</v>
      </c>
      <c r="M486">
        <v>41.666666666666664</v>
      </c>
      <c r="N486" t="s">
        <v>200</v>
      </c>
      <c r="O486">
        <v>20.833333333333332</v>
      </c>
      <c r="P486" t="s">
        <v>13</v>
      </c>
      <c r="Q486" t="s">
        <v>212</v>
      </c>
      <c r="R486" t="s">
        <v>215</v>
      </c>
      <c r="S486" t="s">
        <v>196</v>
      </c>
      <c r="T486" t="s">
        <v>176</v>
      </c>
    </row>
    <row r="487" spans="1:20">
      <c r="A487">
        <v>23</v>
      </c>
      <c r="B487" t="s">
        <v>37</v>
      </c>
      <c r="C487" t="s">
        <v>12</v>
      </c>
      <c r="D487">
        <v>1</v>
      </c>
      <c r="E487">
        <v>60</v>
      </c>
      <c r="F487">
        <v>50</v>
      </c>
      <c r="G487">
        <v>48</v>
      </c>
      <c r="H487">
        <v>55</v>
      </c>
      <c r="I487" t="s">
        <v>16</v>
      </c>
      <c r="J487">
        <v>8</v>
      </c>
      <c r="K487">
        <v>6</v>
      </c>
      <c r="L487">
        <v>153</v>
      </c>
      <c r="M487">
        <v>51</v>
      </c>
      <c r="N487" t="s">
        <v>200</v>
      </c>
      <c r="O487">
        <v>51</v>
      </c>
      <c r="P487" t="s">
        <v>13</v>
      </c>
      <c r="Q487" t="s">
        <v>212</v>
      </c>
      <c r="R487" t="s">
        <v>215</v>
      </c>
      <c r="S487" t="s">
        <v>196</v>
      </c>
      <c r="T487" t="s">
        <v>177</v>
      </c>
    </row>
    <row r="488" spans="1:20">
      <c r="A488">
        <v>39</v>
      </c>
      <c r="B488" t="s">
        <v>53</v>
      </c>
      <c r="C488" t="s">
        <v>12</v>
      </c>
      <c r="D488">
        <v>1</v>
      </c>
      <c r="E488">
        <v>62</v>
      </c>
      <c r="F488">
        <v>52</v>
      </c>
      <c r="G488">
        <v>50</v>
      </c>
      <c r="H488">
        <v>57</v>
      </c>
      <c r="I488" t="s">
        <v>16</v>
      </c>
      <c r="J488">
        <v>8</v>
      </c>
      <c r="K488">
        <v>6</v>
      </c>
      <c r="L488">
        <v>159</v>
      </c>
      <c r="M488">
        <v>53</v>
      </c>
      <c r="N488" t="s">
        <v>200</v>
      </c>
      <c r="O488">
        <v>53</v>
      </c>
      <c r="P488" t="s">
        <v>13</v>
      </c>
      <c r="Q488" t="s">
        <v>212</v>
      </c>
      <c r="R488" t="s">
        <v>215</v>
      </c>
      <c r="S488" t="s">
        <v>196</v>
      </c>
      <c r="T488" t="s">
        <v>177</v>
      </c>
    </row>
    <row r="489" spans="1:20">
      <c r="A489">
        <v>59</v>
      </c>
      <c r="B489" t="s">
        <v>75</v>
      </c>
      <c r="C489" t="s">
        <v>12</v>
      </c>
      <c r="D489">
        <v>1</v>
      </c>
      <c r="E489">
        <v>60</v>
      </c>
      <c r="F489">
        <v>50</v>
      </c>
      <c r="G489">
        <v>48</v>
      </c>
      <c r="H489">
        <v>55</v>
      </c>
      <c r="I489" t="s">
        <v>16</v>
      </c>
      <c r="J489">
        <v>8</v>
      </c>
      <c r="K489">
        <v>6</v>
      </c>
      <c r="L489">
        <v>153</v>
      </c>
      <c r="M489">
        <v>51</v>
      </c>
      <c r="N489" t="s">
        <v>200</v>
      </c>
      <c r="O489">
        <v>51</v>
      </c>
      <c r="P489" t="s">
        <v>13</v>
      </c>
      <c r="Q489" t="s">
        <v>212</v>
      </c>
      <c r="R489" t="s">
        <v>215</v>
      </c>
      <c r="S489" t="s">
        <v>196</v>
      </c>
      <c r="T489" t="s">
        <v>177</v>
      </c>
    </row>
    <row r="490" spans="1:20">
      <c r="A490">
        <v>67</v>
      </c>
      <c r="B490" t="s">
        <v>58</v>
      </c>
      <c r="C490" t="s">
        <v>15</v>
      </c>
      <c r="D490">
        <v>3</v>
      </c>
      <c r="E490">
        <v>78</v>
      </c>
      <c r="F490">
        <v>72</v>
      </c>
      <c r="G490">
        <v>0</v>
      </c>
      <c r="H490">
        <v>75</v>
      </c>
      <c r="I490" t="s">
        <v>13</v>
      </c>
      <c r="J490">
        <v>7</v>
      </c>
      <c r="K490">
        <v>4</v>
      </c>
      <c r="L490">
        <v>147</v>
      </c>
      <c r="M490">
        <v>49</v>
      </c>
      <c r="N490" t="s">
        <v>200</v>
      </c>
      <c r="O490">
        <v>16.333333333333332</v>
      </c>
      <c r="P490" t="s">
        <v>16</v>
      </c>
      <c r="Q490" t="s">
        <v>212</v>
      </c>
      <c r="R490" t="s">
        <v>215</v>
      </c>
      <c r="S490" t="s">
        <v>196</v>
      </c>
      <c r="T490" t="s">
        <v>176</v>
      </c>
    </row>
    <row r="491" spans="1:20">
      <c r="A491">
        <v>75</v>
      </c>
      <c r="B491" t="s">
        <v>89</v>
      </c>
      <c r="C491" t="s">
        <v>12</v>
      </c>
      <c r="D491">
        <v>1</v>
      </c>
      <c r="E491">
        <v>62</v>
      </c>
      <c r="F491">
        <v>52</v>
      </c>
      <c r="G491">
        <v>50</v>
      </c>
      <c r="H491">
        <v>57</v>
      </c>
      <c r="I491" t="s">
        <v>16</v>
      </c>
      <c r="J491">
        <v>8</v>
      </c>
      <c r="K491">
        <v>6</v>
      </c>
      <c r="L491">
        <v>159</v>
      </c>
      <c r="M491">
        <v>53</v>
      </c>
      <c r="N491" t="s">
        <v>200</v>
      </c>
      <c r="O491">
        <v>53</v>
      </c>
      <c r="P491" t="s">
        <v>13</v>
      </c>
      <c r="Q491" t="s">
        <v>212</v>
      </c>
      <c r="R491" t="s">
        <v>215</v>
      </c>
      <c r="S491" t="s">
        <v>196</v>
      </c>
      <c r="T491" t="s">
        <v>177</v>
      </c>
    </row>
    <row r="492" spans="1:20">
      <c r="A492">
        <v>99</v>
      </c>
      <c r="B492" t="s">
        <v>113</v>
      </c>
      <c r="C492" t="s">
        <v>12</v>
      </c>
      <c r="D492">
        <v>1</v>
      </c>
      <c r="E492">
        <v>62</v>
      </c>
      <c r="F492">
        <v>52</v>
      </c>
      <c r="G492">
        <v>50</v>
      </c>
      <c r="H492">
        <v>57</v>
      </c>
      <c r="I492" t="s">
        <v>16</v>
      </c>
      <c r="J492">
        <v>8</v>
      </c>
      <c r="K492">
        <v>6</v>
      </c>
      <c r="L492">
        <v>159</v>
      </c>
      <c r="M492">
        <v>53</v>
      </c>
      <c r="N492" t="s">
        <v>200</v>
      </c>
      <c r="O492">
        <v>53</v>
      </c>
      <c r="P492" t="s">
        <v>13</v>
      </c>
      <c r="Q492" t="s">
        <v>212</v>
      </c>
      <c r="R492" t="s">
        <v>215</v>
      </c>
      <c r="S492" t="s">
        <v>196</v>
      </c>
      <c r="T492" t="s">
        <v>177</v>
      </c>
    </row>
    <row r="493" spans="1:20">
      <c r="A493">
        <v>159</v>
      </c>
      <c r="B493" t="s">
        <v>75</v>
      </c>
      <c r="C493" t="s">
        <v>12</v>
      </c>
      <c r="D493">
        <v>1</v>
      </c>
      <c r="E493">
        <v>60</v>
      </c>
      <c r="F493">
        <v>50</v>
      </c>
      <c r="G493">
        <v>48</v>
      </c>
      <c r="H493">
        <v>55</v>
      </c>
      <c r="I493" t="s">
        <v>16</v>
      </c>
      <c r="J493">
        <v>8</v>
      </c>
      <c r="K493">
        <v>6</v>
      </c>
      <c r="L493">
        <v>153</v>
      </c>
      <c r="M493">
        <v>51</v>
      </c>
      <c r="N493" t="s">
        <v>200</v>
      </c>
      <c r="O493">
        <v>51</v>
      </c>
      <c r="P493" t="s">
        <v>13</v>
      </c>
      <c r="Q493" t="s">
        <v>212</v>
      </c>
      <c r="R493" t="s">
        <v>215</v>
      </c>
      <c r="S493" t="s">
        <v>196</v>
      </c>
      <c r="T493" t="s">
        <v>177</v>
      </c>
    </row>
    <row r="494" spans="1:20">
      <c r="A494">
        <v>167</v>
      </c>
      <c r="B494" t="s">
        <v>58</v>
      </c>
      <c r="C494" t="s">
        <v>15</v>
      </c>
      <c r="D494">
        <v>3</v>
      </c>
      <c r="E494">
        <v>78</v>
      </c>
      <c r="F494">
        <v>72</v>
      </c>
      <c r="G494">
        <v>0</v>
      </c>
      <c r="H494">
        <v>75</v>
      </c>
      <c r="I494" t="s">
        <v>13</v>
      </c>
      <c r="J494">
        <v>7</v>
      </c>
      <c r="K494">
        <v>4</v>
      </c>
      <c r="L494">
        <v>147</v>
      </c>
      <c r="M494">
        <v>49</v>
      </c>
      <c r="N494" t="s">
        <v>200</v>
      </c>
      <c r="O494">
        <v>16.333333333333332</v>
      </c>
      <c r="P494" t="s">
        <v>16</v>
      </c>
      <c r="Q494" t="s">
        <v>212</v>
      </c>
      <c r="R494" t="s">
        <v>215</v>
      </c>
      <c r="S494" t="s">
        <v>196</v>
      </c>
      <c r="T494" t="s">
        <v>176</v>
      </c>
    </row>
    <row r="495" spans="1:20">
      <c r="A495">
        <v>175</v>
      </c>
      <c r="B495" t="s">
        <v>89</v>
      </c>
      <c r="C495" t="s">
        <v>12</v>
      </c>
      <c r="D495">
        <v>1</v>
      </c>
      <c r="E495">
        <v>62</v>
      </c>
      <c r="F495">
        <v>52</v>
      </c>
      <c r="G495">
        <v>50</v>
      </c>
      <c r="H495">
        <v>57</v>
      </c>
      <c r="I495" t="s">
        <v>16</v>
      </c>
      <c r="J495">
        <v>8</v>
      </c>
      <c r="K495">
        <v>6</v>
      </c>
      <c r="L495">
        <v>159</v>
      </c>
      <c r="M495">
        <v>53</v>
      </c>
      <c r="N495" t="s">
        <v>200</v>
      </c>
      <c r="O495">
        <v>53</v>
      </c>
      <c r="P495" t="s">
        <v>13</v>
      </c>
      <c r="Q495" t="s">
        <v>212</v>
      </c>
      <c r="R495" t="s">
        <v>215</v>
      </c>
      <c r="S495" t="s">
        <v>196</v>
      </c>
      <c r="T495" t="s">
        <v>177</v>
      </c>
    </row>
    <row r="496" spans="1:20">
      <c r="A496">
        <v>199</v>
      </c>
      <c r="B496" t="s">
        <v>113</v>
      </c>
      <c r="C496" t="s">
        <v>12</v>
      </c>
      <c r="D496">
        <v>1</v>
      </c>
      <c r="E496">
        <v>62</v>
      </c>
      <c r="F496">
        <v>52</v>
      </c>
      <c r="G496">
        <v>50</v>
      </c>
      <c r="H496">
        <v>57</v>
      </c>
      <c r="I496" t="s">
        <v>16</v>
      </c>
      <c r="J496">
        <v>8</v>
      </c>
      <c r="K496">
        <v>6</v>
      </c>
      <c r="L496">
        <v>159</v>
      </c>
      <c r="M496">
        <v>53</v>
      </c>
      <c r="N496" t="s">
        <v>200</v>
      </c>
      <c r="O496">
        <v>53</v>
      </c>
      <c r="P496" t="s">
        <v>13</v>
      </c>
      <c r="Q496" t="s">
        <v>212</v>
      </c>
      <c r="R496" t="s">
        <v>215</v>
      </c>
      <c r="S496" t="s">
        <v>196</v>
      </c>
      <c r="T496" t="s">
        <v>177</v>
      </c>
    </row>
    <row r="497" spans="1:20">
      <c r="A497">
        <v>269</v>
      </c>
      <c r="B497" t="s">
        <v>53</v>
      </c>
      <c r="C497" t="s">
        <v>12</v>
      </c>
      <c r="D497">
        <v>1</v>
      </c>
      <c r="E497">
        <v>62</v>
      </c>
      <c r="F497">
        <v>52</v>
      </c>
      <c r="G497">
        <v>50</v>
      </c>
      <c r="H497">
        <v>57</v>
      </c>
      <c r="I497" t="s">
        <v>16</v>
      </c>
      <c r="J497">
        <v>8</v>
      </c>
      <c r="K497">
        <v>6</v>
      </c>
      <c r="L497">
        <v>159</v>
      </c>
      <c r="M497">
        <v>53</v>
      </c>
      <c r="N497" t="s">
        <v>200</v>
      </c>
      <c r="O497">
        <v>53</v>
      </c>
      <c r="P497" t="s">
        <v>13</v>
      </c>
      <c r="Q497" t="s">
        <v>212</v>
      </c>
      <c r="R497" t="s">
        <v>215</v>
      </c>
      <c r="S497" t="s">
        <v>196</v>
      </c>
      <c r="T497" t="s">
        <v>177</v>
      </c>
    </row>
    <row r="498" spans="1:20">
      <c r="A498">
        <v>322</v>
      </c>
      <c r="B498" t="s">
        <v>53</v>
      </c>
      <c r="C498" t="s">
        <v>12</v>
      </c>
      <c r="D498">
        <v>1</v>
      </c>
      <c r="E498">
        <v>62</v>
      </c>
      <c r="F498">
        <v>52</v>
      </c>
      <c r="G498">
        <v>50</v>
      </c>
      <c r="H498">
        <v>57</v>
      </c>
      <c r="I498" t="s">
        <v>16</v>
      </c>
      <c r="J498">
        <v>8</v>
      </c>
      <c r="K498">
        <v>6</v>
      </c>
      <c r="L498">
        <v>159</v>
      </c>
      <c r="M498">
        <v>53</v>
      </c>
      <c r="N498" t="s">
        <v>200</v>
      </c>
      <c r="O498">
        <v>53</v>
      </c>
      <c r="P498" t="s">
        <v>13</v>
      </c>
      <c r="Q498" t="s">
        <v>212</v>
      </c>
      <c r="R498" t="s">
        <v>215</v>
      </c>
      <c r="S498" t="s">
        <v>196</v>
      </c>
      <c r="T498" t="s">
        <v>177</v>
      </c>
    </row>
    <row r="499" spans="1:20">
      <c r="A499">
        <v>368</v>
      </c>
      <c r="B499" t="s">
        <v>53</v>
      </c>
      <c r="C499" t="s">
        <v>12</v>
      </c>
      <c r="D499">
        <v>1</v>
      </c>
      <c r="E499">
        <v>62</v>
      </c>
      <c r="F499">
        <v>52</v>
      </c>
      <c r="G499">
        <v>50</v>
      </c>
      <c r="H499">
        <v>57</v>
      </c>
      <c r="I499" t="s">
        <v>16</v>
      </c>
      <c r="J499">
        <v>8</v>
      </c>
      <c r="K499">
        <v>6</v>
      </c>
      <c r="L499">
        <v>159</v>
      </c>
      <c r="M499">
        <v>53</v>
      </c>
      <c r="N499" t="s">
        <v>200</v>
      </c>
      <c r="O499">
        <v>53</v>
      </c>
      <c r="P499" t="s">
        <v>13</v>
      </c>
      <c r="Q499" t="s">
        <v>212</v>
      </c>
      <c r="R499" t="s">
        <v>215</v>
      </c>
      <c r="S499" t="s">
        <v>196</v>
      </c>
      <c r="T499" t="s">
        <v>177</v>
      </c>
    </row>
    <row r="500" spans="1:20">
      <c r="A500">
        <v>415</v>
      </c>
      <c r="B500" t="s">
        <v>53</v>
      </c>
      <c r="C500" t="s">
        <v>12</v>
      </c>
      <c r="D500">
        <v>1</v>
      </c>
      <c r="E500">
        <v>62</v>
      </c>
      <c r="F500">
        <v>52</v>
      </c>
      <c r="G500">
        <v>50</v>
      </c>
      <c r="H500">
        <v>57</v>
      </c>
      <c r="I500" t="s">
        <v>16</v>
      </c>
      <c r="J500">
        <v>8</v>
      </c>
      <c r="K500">
        <v>6</v>
      </c>
      <c r="L500">
        <v>159</v>
      </c>
      <c r="M500">
        <v>53</v>
      </c>
      <c r="N500" t="s">
        <v>200</v>
      </c>
      <c r="O500">
        <v>53</v>
      </c>
      <c r="P500" t="s">
        <v>13</v>
      </c>
      <c r="Q500" t="s">
        <v>212</v>
      </c>
      <c r="R500" t="s">
        <v>215</v>
      </c>
      <c r="S500" t="s">
        <v>196</v>
      </c>
      <c r="T500" t="s">
        <v>177</v>
      </c>
    </row>
    <row r="501" spans="1:20">
      <c r="A501">
        <v>448</v>
      </c>
      <c r="B501" t="s">
        <v>53</v>
      </c>
      <c r="C501" t="s">
        <v>12</v>
      </c>
      <c r="D501">
        <v>1</v>
      </c>
      <c r="E501">
        <v>62</v>
      </c>
      <c r="F501">
        <v>52</v>
      </c>
      <c r="G501">
        <v>50</v>
      </c>
      <c r="H501">
        <v>57</v>
      </c>
      <c r="I501" t="s">
        <v>16</v>
      </c>
      <c r="J501">
        <v>8</v>
      </c>
      <c r="K501">
        <v>6</v>
      </c>
      <c r="L501">
        <v>159</v>
      </c>
      <c r="M501">
        <v>53</v>
      </c>
      <c r="N501" t="s">
        <v>200</v>
      </c>
      <c r="O501">
        <v>53</v>
      </c>
      <c r="P501" t="s">
        <v>13</v>
      </c>
      <c r="Q501" t="s">
        <v>212</v>
      </c>
      <c r="R501" t="s">
        <v>215</v>
      </c>
      <c r="S501" t="s">
        <v>196</v>
      </c>
      <c r="T501" t="s">
        <v>177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6"/>
  <sheetViews>
    <sheetView zoomScaleNormal="100" workbookViewId="0">
      <selection activeCell="K15" sqref="K15"/>
    </sheetView>
  </sheetViews>
  <sheetFormatPr defaultRowHeight="14.5"/>
  <cols>
    <col min="2" max="2" width="12.36328125" bestFit="1" customWidth="1"/>
    <col min="3" max="3" width="22.7265625" bestFit="1" customWidth="1"/>
    <col min="4" max="4" width="5.36328125" bestFit="1" customWidth="1"/>
    <col min="5" max="5" width="18.08984375" bestFit="1" customWidth="1"/>
    <col min="6" max="6" width="18" bestFit="1" customWidth="1"/>
    <col min="7" max="7" width="18.1796875" bestFit="1" customWidth="1"/>
    <col min="8" max="8" width="5.36328125" bestFit="1" customWidth="1"/>
    <col min="9" max="9" width="18.08984375" bestFit="1" customWidth="1"/>
    <col min="10" max="10" width="10.7265625" bestFit="1" customWidth="1"/>
    <col min="11" max="45" width="5.36328125" bestFit="1" customWidth="1"/>
    <col min="46" max="46" width="10.7265625" bestFit="1" customWidth="1"/>
  </cols>
  <sheetData>
    <row r="2" spans="2:10">
      <c r="B2" s="6" t="s">
        <v>191</v>
      </c>
      <c r="C2" t="s">
        <v>194</v>
      </c>
      <c r="F2" s="6" t="s">
        <v>201</v>
      </c>
      <c r="G2" s="6" t="s">
        <v>202</v>
      </c>
    </row>
    <row r="3" spans="2:10">
      <c r="B3" s="7" t="s">
        <v>15</v>
      </c>
      <c r="C3" s="1">
        <v>83.228997289972924</v>
      </c>
      <c r="F3" s="6" t="s">
        <v>191</v>
      </c>
      <c r="G3" t="s">
        <v>198</v>
      </c>
      <c r="H3" t="s">
        <v>199</v>
      </c>
      <c r="I3" t="s">
        <v>200</v>
      </c>
      <c r="J3" t="s">
        <v>192</v>
      </c>
    </row>
    <row r="4" spans="2:10">
      <c r="B4" s="7" t="s">
        <v>12</v>
      </c>
      <c r="C4" s="1">
        <v>72.763779527559052</v>
      </c>
      <c r="F4" s="7" t="s">
        <v>15</v>
      </c>
      <c r="G4" s="8">
        <v>201</v>
      </c>
      <c r="H4" s="8">
        <v>42</v>
      </c>
      <c r="I4" s="8">
        <v>3</v>
      </c>
      <c r="J4" s="8">
        <v>246</v>
      </c>
    </row>
    <row r="5" spans="2:10">
      <c r="B5" s="7" t="s">
        <v>192</v>
      </c>
      <c r="C5" s="1">
        <v>77.912666666666638</v>
      </c>
      <c r="F5" s="7" t="s">
        <v>12</v>
      </c>
      <c r="G5" s="8">
        <v>65</v>
      </c>
      <c r="H5" s="8">
        <v>175</v>
      </c>
      <c r="I5" s="8">
        <v>14</v>
      </c>
      <c r="J5" s="8">
        <v>254</v>
      </c>
    </row>
    <row r="6" spans="2:10">
      <c r="B6" s="27" t="s">
        <v>203</v>
      </c>
      <c r="C6" s="27"/>
      <c r="F6" s="7" t="s">
        <v>192</v>
      </c>
      <c r="G6" s="8">
        <v>266</v>
      </c>
      <c r="H6" s="8">
        <v>217</v>
      </c>
      <c r="I6" s="8">
        <v>17</v>
      </c>
      <c r="J6" s="8">
        <v>500</v>
      </c>
    </row>
    <row r="7" spans="2:10">
      <c r="B7" s="9"/>
      <c r="C7" s="9"/>
      <c r="F7" s="27" t="s">
        <v>206</v>
      </c>
      <c r="G7" s="27"/>
      <c r="H7" s="27"/>
      <c r="I7" s="27"/>
      <c r="J7" s="27"/>
    </row>
    <row r="8" spans="2:10">
      <c r="B8" s="9"/>
      <c r="C8" s="9"/>
      <c r="F8" s="10"/>
      <c r="G8" s="10"/>
      <c r="H8" s="10"/>
      <c r="I8" s="10"/>
      <c r="J8" s="10"/>
    </row>
    <row r="9" spans="2:10">
      <c r="B9" s="9"/>
      <c r="C9" s="9"/>
      <c r="F9" s="7"/>
      <c r="G9" s="8"/>
      <c r="H9" s="8"/>
      <c r="I9" s="8"/>
      <c r="J9" s="8"/>
    </row>
    <row r="10" spans="2:10">
      <c r="B10" s="9"/>
      <c r="C10" s="9"/>
    </row>
    <row r="11" spans="2:10">
      <c r="B11" s="6" t="s">
        <v>191</v>
      </c>
      <c r="C11" t="s">
        <v>194</v>
      </c>
      <c r="F11" s="6" t="s">
        <v>191</v>
      </c>
      <c r="G11" t="s">
        <v>201</v>
      </c>
      <c r="H11" s="6"/>
    </row>
    <row r="12" spans="2:10">
      <c r="B12" s="7" t="s">
        <v>195</v>
      </c>
      <c r="C12" s="1">
        <v>84.515337423312985</v>
      </c>
      <c r="F12" s="7" t="s">
        <v>198</v>
      </c>
      <c r="G12" s="8">
        <v>266</v>
      </c>
    </row>
    <row r="13" spans="2:10">
      <c r="B13" s="7" t="s">
        <v>196</v>
      </c>
      <c r="C13" s="1">
        <v>65.558766859344871</v>
      </c>
      <c r="F13" s="7" t="s">
        <v>199</v>
      </c>
      <c r="G13" s="8">
        <v>217</v>
      </c>
    </row>
    <row r="14" spans="2:10">
      <c r="B14" s="7" t="s">
        <v>197</v>
      </c>
      <c r="C14" s="1">
        <v>62.666666666666664</v>
      </c>
      <c r="F14" s="7" t="s">
        <v>200</v>
      </c>
      <c r="G14" s="8">
        <v>17</v>
      </c>
    </row>
    <row r="15" spans="2:10">
      <c r="B15" s="7" t="s">
        <v>192</v>
      </c>
      <c r="C15" s="1">
        <v>77.912666666666595</v>
      </c>
      <c r="F15" s="7" t="s">
        <v>192</v>
      </c>
      <c r="G15" s="8">
        <v>500</v>
      </c>
    </row>
    <row r="16" spans="2:10">
      <c r="B16" s="27" t="s">
        <v>204</v>
      </c>
      <c r="C16" s="27"/>
      <c r="F16" s="27" t="s">
        <v>205</v>
      </c>
      <c r="G16" s="27"/>
    </row>
  </sheetData>
  <mergeCells count="4">
    <mergeCell ref="B6:C6"/>
    <mergeCell ref="B16:C16"/>
    <mergeCell ref="F7:J7"/>
    <mergeCell ref="F16:G16"/>
  </mergeCells>
  <pageMargins left="0.7" right="0.7" top="0.75" bottom="0.75" header="0.3" footer="0.3"/>
  <pageSetup paperSize="9"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J9"/>
  <sheetViews>
    <sheetView showGridLines="0" tabSelected="1" zoomScale="67" zoomScaleNormal="70" workbookViewId="0">
      <selection activeCell="T28" sqref="T28"/>
    </sheetView>
  </sheetViews>
  <sheetFormatPr defaultRowHeight="14.5"/>
  <cols>
    <col min="1" max="16384" width="8.7265625" style="11"/>
  </cols>
  <sheetData>
    <row r="1" spans="7:10">
      <c r="J1" s="12">
        <f>AVERAGE('Clean Data'!N4:N503)</f>
        <v>77.905333333333331</v>
      </c>
    </row>
    <row r="7" spans="7:10">
      <c r="G7" s="13">
        <f>AVERAGE('Clean Data'!N4:N503)</f>
        <v>77.905333333333331</v>
      </c>
    </row>
    <row r="9" spans="7:10">
      <c r="J9" s="13">
        <f>AVERAGE('Clean Data'!N4:N503)</f>
        <v>77.905333333333331</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5"/>
  <sheetViews>
    <sheetView workbookViewId="0">
      <selection activeCell="C5" sqref="C5"/>
    </sheetView>
  </sheetViews>
  <sheetFormatPr defaultRowHeight="14.5"/>
  <cols>
    <col min="2" max="2" width="12.7265625" bestFit="1" customWidth="1"/>
  </cols>
  <sheetData>
    <row r="2" spans="2:3">
      <c r="B2" t="s">
        <v>207</v>
      </c>
      <c r="C2" s="1">
        <f>AVERAGE('Clean Data'!N4:N503)</f>
        <v>77.905333333333331</v>
      </c>
    </row>
    <row r="3" spans="2:3">
      <c r="B3" t="s">
        <v>208</v>
      </c>
      <c r="C3">
        <f>COUNTA('Clean Data'!C4:C503)</f>
        <v>500</v>
      </c>
    </row>
    <row r="4" spans="2:3">
      <c r="B4" t="s">
        <v>209</v>
      </c>
      <c r="C4" s="1">
        <f>MAX('Clean Data'!M4:M503)</f>
        <v>284</v>
      </c>
    </row>
    <row r="5" spans="2:3">
      <c r="B5" t="s">
        <v>210</v>
      </c>
      <c r="C5">
        <f>COUNTIF('Clean Data'!Q4:Q503,"Yes")</f>
        <v>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1" zoomScaleNormal="90" workbookViewId="0">
      <selection activeCell="R11" sqref="R11"/>
    </sheetView>
  </sheetViews>
  <sheetFormatPr defaultRowHeight="14.5"/>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 Data</vt:lpstr>
      <vt:lpstr>Sheet2</vt:lpstr>
      <vt:lpstr>Pivot Analysis</vt:lpstr>
      <vt:lpstr>Final Dashboard</vt:lpstr>
      <vt:lpstr>Sheet1</vt:lpstr>
      <vt:lpstr>Student Performance Visual Anal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2026-05-01T07:19:46Z</dcterms:created>
  <dcterms:modified xsi:type="dcterms:W3CDTF">2026-07-15T12:39:45Z</dcterms:modified>
</cp:coreProperties>
</file>